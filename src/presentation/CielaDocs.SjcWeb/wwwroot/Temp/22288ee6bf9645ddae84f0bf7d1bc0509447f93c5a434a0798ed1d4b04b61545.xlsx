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32760" yWindow="32760" windowWidth="28800" windowHeight="12105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D18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75"/>
  <c r="E75"/>
  <c r="F75"/>
  <c r="G75"/>
  <c r="D90"/>
  <c r="D85"/>
  <c r="E90"/>
  <c r="E85"/>
  <c r="F90"/>
  <c r="F85"/>
  <c r="G90"/>
  <c r="G85"/>
  <c r="D113"/>
  <c r="E113"/>
  <c r="F113"/>
  <c r="G113"/>
  <c r="D140"/>
  <c r="E140"/>
  <c r="F140"/>
  <c r="G140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0"/>
  <c r="D61"/>
  <c r="D62"/>
  <c r="D64"/>
  <c r="D65"/>
  <c r="D66"/>
  <c r="D68"/>
  <c r="D69"/>
  <c r="D70"/>
  <c r="D72"/>
  <c r="D73"/>
  <c r="D74"/>
  <c r="D78"/>
  <c r="D79"/>
  <c r="D80"/>
  <c r="D82"/>
  <c r="D83"/>
  <c r="D84"/>
  <c r="D87"/>
  <c r="D88"/>
  <c r="D89"/>
  <c r="D93"/>
  <c r="D94"/>
  <c r="D95"/>
  <c r="D97"/>
  <c r="D98"/>
  <c r="D99"/>
  <c r="D106"/>
  <c r="D107"/>
  <c r="D108"/>
  <c r="D110"/>
  <c r="D111"/>
  <c r="D112"/>
  <c r="D115"/>
  <c r="D116"/>
  <c r="D117"/>
  <c r="D119"/>
  <c r="D120"/>
  <c r="D121"/>
  <c r="D123"/>
  <c r="D124"/>
  <c r="D125"/>
  <c r="D127"/>
  <c r="D128"/>
  <c r="D129"/>
  <c r="D131"/>
  <c r="D132"/>
  <c r="D133"/>
  <c r="D136"/>
  <c r="D137"/>
  <c r="D138"/>
  <c r="D145"/>
  <c r="D146"/>
  <c r="D147"/>
  <c r="D150"/>
  <c r="D151"/>
  <c r="D152"/>
  <c r="D154"/>
  <c r="D155"/>
  <c r="D156"/>
  <c r="D159"/>
  <c r="D160"/>
  <c r="D161"/>
  <c r="D163"/>
  <c r="D164"/>
  <c r="D165"/>
  <c r="E202"/>
  <c r="E60"/>
  <c r="E61"/>
  <c r="E62"/>
  <c r="E64"/>
  <c r="E65"/>
  <c r="E66"/>
  <c r="E68"/>
  <c r="E69"/>
  <c r="E70"/>
  <c r="E72"/>
  <c r="E73"/>
  <c r="E74"/>
  <c r="E78"/>
  <c r="E79"/>
  <c r="E80"/>
  <c r="E82"/>
  <c r="E83"/>
  <c r="E84"/>
  <c r="E87"/>
  <c r="E88"/>
  <c r="E89"/>
  <c r="E93"/>
  <c r="E94"/>
  <c r="E95"/>
  <c r="E97"/>
  <c r="E98"/>
  <c r="E99"/>
  <c r="E106"/>
  <c r="E107"/>
  <c r="E108"/>
  <c r="E110"/>
  <c r="E111"/>
  <c r="E112"/>
  <c r="E115"/>
  <c r="E116"/>
  <c r="E117"/>
  <c r="E119"/>
  <c r="E120"/>
  <c r="E121"/>
  <c r="E123"/>
  <c r="E124"/>
  <c r="E125"/>
  <c r="E127"/>
  <c r="E128"/>
  <c r="E129"/>
  <c r="E131"/>
  <c r="E132"/>
  <c r="E133"/>
  <c r="E136"/>
  <c r="E137"/>
  <c r="E138"/>
  <c r="E145"/>
  <c r="E146"/>
  <c r="E147"/>
  <c r="E150"/>
  <c r="E151"/>
  <c r="E152"/>
  <c r="E154"/>
  <c r="E155"/>
  <c r="E156"/>
  <c r="E159"/>
  <c r="E160"/>
  <c r="E161"/>
  <c r="E163"/>
  <c r="E164"/>
  <c r="E165"/>
  <c r="F202"/>
  <c r="F60"/>
  <c r="F61"/>
  <c r="F62"/>
  <c r="F64"/>
  <c r="F65"/>
  <c r="F66"/>
  <c r="F68"/>
  <c r="F69"/>
  <c r="F70"/>
  <c r="F72"/>
  <c r="F73"/>
  <c r="F74"/>
  <c r="F78"/>
  <c r="F79"/>
  <c r="F80"/>
  <c r="F82"/>
  <c r="F83"/>
  <c r="F84"/>
  <c r="F87"/>
  <c r="F88"/>
  <c r="F89"/>
  <c r="F93"/>
  <c r="F94"/>
  <c r="F95"/>
  <c r="F97"/>
  <c r="F98"/>
  <c r="F99"/>
  <c r="F106"/>
  <c r="F107"/>
  <c r="F108"/>
  <c r="F110"/>
  <c r="F111"/>
  <c r="F112"/>
  <c r="F115"/>
  <c r="F116"/>
  <c r="F117"/>
  <c r="F119"/>
  <c r="F120"/>
  <c r="F121"/>
  <c r="F123"/>
  <c r="F124"/>
  <c r="F125"/>
  <c r="F127"/>
  <c r="F128"/>
  <c r="F129"/>
  <c r="F131"/>
  <c r="F132"/>
  <c r="F133"/>
  <c r="F136"/>
  <c r="F137"/>
  <c r="F138"/>
  <c r="F145"/>
  <c r="F146"/>
  <c r="F147"/>
  <c r="F150"/>
  <c r="F151"/>
  <c r="F152"/>
  <c r="F154"/>
  <c r="F155"/>
  <c r="F156"/>
  <c r="F159"/>
  <c r="F160"/>
  <c r="F161"/>
  <c r="F163"/>
  <c r="F164"/>
  <c r="F165"/>
  <c r="G202"/>
  <c r="G60"/>
  <c r="G61"/>
  <c r="G62"/>
  <c r="G64"/>
  <c r="G65"/>
  <c r="G66"/>
  <c r="G68"/>
  <c r="G69"/>
  <c r="G70"/>
  <c r="G72"/>
  <c r="G73"/>
  <c r="G74"/>
  <c r="G78"/>
  <c r="G79"/>
  <c r="G80"/>
  <c r="G82"/>
  <c r="G83"/>
  <c r="G84"/>
  <c r="G87"/>
  <c r="G88"/>
  <c r="G89"/>
  <c r="G93"/>
  <c r="G94"/>
  <c r="G95"/>
  <c r="G97"/>
  <c r="G98"/>
  <c r="G99"/>
  <c r="G106"/>
  <c r="G107"/>
  <c r="G108"/>
  <c r="G110"/>
  <c r="G111"/>
  <c r="G112"/>
  <c r="G115"/>
  <c r="G116"/>
  <c r="G117"/>
  <c r="G119"/>
  <c r="G120"/>
  <c r="G121"/>
  <c r="G123"/>
  <c r="G124"/>
  <c r="G125"/>
  <c r="G127"/>
  <c r="G128"/>
  <c r="G129"/>
  <c r="G131"/>
  <c r="G132"/>
  <c r="G133"/>
  <c r="G136"/>
  <c r="G137"/>
  <c r="G138"/>
  <c r="G145"/>
  <c r="G146"/>
  <c r="G147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<sst xmlns="http://schemas.openxmlformats.org/spreadsheetml/2006/main">
  <si>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</si>
  <si>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</si>
  <si>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</si>
  <si>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</si>
  <si>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 xml:space="preserve">РС  Левски</t>
  </si>
  <si>
    <t>код №</t>
  </si>
  <si>
    <t>17082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</si>
  <si>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</si>
  <si>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</si>
  <si>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</si>
  <si>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</si>
  <si>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</si>
  <si>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</si>
  <si>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</si>
  <si>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</si>
  <si>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</si>
  <si>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</si>
  <si>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</si>
  <si>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</si>
  <si>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</si>
  <si>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</si>
  <si>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</si>
  <si>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</si>
  <si>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</si>
  <si>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</si>
  <si>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</si>
  <si>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</si>
  <si>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</si>
  <si>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</si>
  <si>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</si>
  <si>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</si>
  <si>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</si>
  <si>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</si>
  <si>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</si>
  <si>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</si>
  <si>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</si>
  <si>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</si>
  <si>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</si>
  <si>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</si>
  <si>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</si>
  <si>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</si>
  <si>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</si>
  <si>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</si>
  <si>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</si>
  <si>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</si>
  <si>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</si>
  <si>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</si>
  <si>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</si>
  <si>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</si>
  <si>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</si>
  <si>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</si>
  <si>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01.01.02.P;01.02.02.P;02.01.02.P;02.02.02.P;02.03.02.P;03.01.02.P;05.01.01.P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</si>
  <si>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</si>
  <si>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</si>
  <si>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</si>
  <si>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</si>
  <si>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</si>
  <si>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</si>
  <si>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</si>
  <si>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</si>
  <si>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</si>
  <si>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</si>
  <si>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</si>
  <si>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</si>
  <si>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</si>
  <si>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</si>
  <si>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</si>
  <si>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</si>
  <si>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</si>
  <si>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</si>
  <si>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</si>
  <si>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</si>
  <si>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</si>
  <si>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</si>
  <si>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</si>
  <si>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</si>
  <si>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</si>
  <si>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</si>
  <si>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</si>
  <si>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</si>
  <si>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</si>
  <si>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</si>
  <si>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</si>
  <si>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</si>
  <si>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</si>
  <si>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</si>
  <si>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</si>
  <si>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</si>
  <si>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</si>
  <si>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</si>
  <si>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</si>
  <si>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</si>
  <si>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</si>
  <si>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</si>
  <si>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</si>
  <si>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</si>
  <si>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</si>
  <si>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</si>
  <si>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</si>
  <si>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</si>
  <si>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</si>
  <si>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</si>
  <si>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</si>
  <si>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</si>
  <si>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</si>
  <si>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</si>
  <si>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</si>
  <si>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</si>
  <si>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</si>
  <si>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</si>
  <si>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</si>
  <si>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</si>
  <si>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</si>
  <si>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</si>
  <si>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</si>
  <si>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</si>
  <si>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</si>
  <si>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</si>
  <si>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</si>
  <si>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</si>
  <si>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</si>
  <si>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</si>
  <si>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</si>
  <si>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</si>
  <si>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</si>
  <si>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</si>
  <si>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</si>
  <si>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</si>
  <si>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</si>
  <si>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</si>
  <si>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</si>
  <si>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</si>
  <si>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</si>
  <si>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</si>
  <si>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</si>
  <si>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</si>
  <si>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</si>
  <si>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</si>
  <si>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</si>
  <si>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</si>
  <si>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</si>
  <si>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</si>
  <si>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</si>
  <si>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</si>
  <si>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</si>
  <si>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</si>
  <si>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</si>
  <si>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</si>
  <si>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</si>
  <si>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</si>
  <si>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</si>
  <si>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</si>
  <si>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</si>
  <si>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</si>
  <si>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</si>
  <si>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</si>
  <si>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</si>
  <si>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</si>
  <si>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</si>
  <si>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</si>
  <si>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</si>
  <si>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</si>
  <si>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</si>
  <si>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</si>
  <si>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</si>
  <si>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</si>
  <si>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</si>
  <si>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</si>
  <si>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</si>
  <si>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</si>
  <si>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</si>
  <si>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</si>
  <si>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</si>
  <si>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</si>
  <si>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</si>
  <si>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</si>
  <si>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</si>
  <si>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</si>
  <si>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</si>
  <si>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</si>
  <si>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</si>
  <si>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</si>
  <si>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</si>
  <si>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</si>
  <si>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</si>
  <si>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</si>
  <si>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</si>
  <si>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</si>
  <si>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</si>
  <si>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</si>
  <si>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</si>
  <si>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</si>
  <si>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</si>
  <si>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</si>
  <si>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</si>
  <si>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</si>
  <si>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</si>
  <si>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</si>
  <si>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</si>
  <si>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</si>
  <si>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</si>
  <si>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</si>
  <si>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</si>
  <si>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</si>
  <si>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</si>
  <si>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</si>
  <si>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</si>
  <si>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</si>
  <si>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</si>
  <si>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</si>
  <si>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</si>
  <si>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</si>
  <si>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</si>
  <si>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</si>
  <si>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</si>
  <si>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</si>
  <si>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</si>
  <si>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</si>
  <si>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</si>
  <si>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</si>
  <si>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</si>
  <si>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</si>
  <si>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</si>
  <si>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</si>
  <si>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</si>
  <si>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</si>
  <si>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</si>
  <si>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</si>
  <si>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</si>
  <si>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</si>
  <si>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</si>
  <si>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</si>
  <si>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</si>
  <si>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</si>
  <si>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</si>
  <si>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</si>
  <si>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</si>
  <si>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</si>
  <si>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</si>
  <si>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</si>
  <si>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</si>
  <si>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</si>
  <si>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</si>
  <si>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</si>
  <si>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</si>
  <si>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</si>
  <si>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</si>
  <si>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</si>
  <si>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</si>
  <si>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</si>
  <si>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</si>
  <si>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</si>
  <si>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</si>
  <si>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</si>
  <si>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</si>
  <si>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</si>
  <si>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</si>
  <si>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</si>
  <si>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</si>
  <si>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</si>
  <si>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</si>
  <si>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</si>
  <si>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</si>
  <si>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</si>
  <si>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</si>
  <si>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</si>
  <si>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</si>
  <si>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</si>
  <si>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</si>
  <si>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</si>
  <si>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</si>
  <si>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</si>
  <si>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</si>
  <si>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</si>
  <si>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</si>
  <si>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</si>
  <si>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</si>
  <si>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</si>
  <si>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</si>
  <si>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</si>
  <si>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</si>
  <si>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</si>
  <si>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</si>
  <si>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</si>
  <si>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</si>
  <si>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</si>
  <si>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</si>
  <si>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</si>
  <si>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</si>
  <si>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</si>
  <si>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</si>
  <si>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</si>
  <si>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</si>
  <si>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</si>
  <si>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</si>
  <si>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</si>
  <si>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</si>
  <si>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</si>
  <si>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</si>
  <si>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</si>
  <si>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</si>
  <si>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</si>
  <si>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</si>
  <si>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</si>
  <si>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</si>
  <si>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</si>
  <si>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</si>
  <si>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</si>
  <si>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</si>
  <si>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</si>
  <si>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</si>
  <si>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</si>
  <si>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</si>
  <si>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</si>
  <si>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</si>
  <si>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</si>
  <si>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01.01.03.К</t>
  </si>
  <si>
    <t>01.01.04.К;01.02.03.К;02.01.03.К;02.02.03.К;02.03.03.К;03.01.03.К;05.01.01.К</t>
  </si>
  <si>
    <t xml:space="preserve"> Основен ремонт на ДМА за учебна и почивна дейност</t>
  </si>
  <si>
    <t>02.01.04.К;02.02.04К; 03.01.04.К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</si>
  <si>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</si>
  <si>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</si>
  <si>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</si>
  <si>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</si>
  <si>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</si>
  <si>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04.01.01.К;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</si>
  <si>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</si>
  <si>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</si>
  <si>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</si>
  <si>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</si>
  <si>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</si>
  <si>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</si>
  <si>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01.01.04.К; 01.02.03.К; 02.01.03.К;02.02.03.К;02.03.03.К; 03.01.03.К; 05.01.01.К</t>
  </si>
  <si>
    <t>придобиване на друго оборудване и съоръжения за учебна и почивна дейност</t>
  </si>
  <si>
    <t>02.01.04.К; 02.02.04.К; 03.01.04.К;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</si>
  <si>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</si>
  <si>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</si>
  <si>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</si>
  <si>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</si>
  <si>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</si>
  <si>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</si>
  <si>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</si>
  <si>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</si>
  <si>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</si>
  <si>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</si>
  <si>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</si>
  <si>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</si>
  <si>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</si>
  <si>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</si>
  <si>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</si>
  <si>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</si>
  <si>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</si>
  <si>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</si>
  <si>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</si>
  <si>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</si>
  <si>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</si>
  <si>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</si>
  <si>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</si>
  <si>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</si>
  <si>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</si>
  <si>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</si>
  <si>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</si>
  <si>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2</t>
  </si>
  <si>
    <t>придобиване на други НДА - БП "УРЕП"</t>
  </si>
  <si>
    <t>53-09</t>
  </si>
  <si>
    <t>X.</t>
  </si>
  <si>
    <t>Придобиване на земя</t>
  </si>
  <si>
    <t>54-00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</si>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</sst>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0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0"/>
      <name val="Times Bold Italic"/>
      <family val="1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142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0" fontId="3" fillId="7" borderId="4" xfId="0" applyNumberFormat="1" applyFont="1" applyFill="1" applyBorder="1" applyAlignment="1" applyProtection="1">
      <alignment horizontal="right" vertical="top" wrapText="1"/>
    </xf>
    <xf numFmtId="0" fontId="3" fillId="7" borderId="4" xfId="0" applyNumberFormat="1" applyFont="1" applyFill="1" applyBorder="1" applyAlignment="1" applyProtection="1">
      <alignment horizontal="left" vertical="top" wrapText="1"/>
    </xf>
    <xf numFmtId="0" fontId="3" fillId="7" borderId="5" xfId="0" applyNumberFormat="1" applyFont="1" applyFill="1" applyBorder="1" applyAlignment="1" applyProtection="1">
      <alignment horizontal="center" vertical="top" wrapText="1"/>
    </xf>
    <xf numFmtId="3" fontId="3" fillId="7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8" borderId="6" xfId="0" applyNumberFormat="1" applyFont="1" applyFill="1" applyBorder="1" applyAlignment="1" applyProtection="1">
      <alignment horizontal="right" vertical="top" wrapText="1"/>
    </xf>
    <xf numFmtId="0" fontId="2" fillId="8" borderId="6" xfId="0" applyNumberFormat="1" applyFont="1" applyFill="1" applyBorder="1" applyAlignment="1" applyProtection="1">
      <alignment horizontal="left" vertical="top" wrapText="1"/>
    </xf>
    <xf numFmtId="0" fontId="2" fillId="8" borderId="6" xfId="0" applyNumberFormat="1" applyFont="1" applyFill="1" applyBorder="1" applyAlignment="1" applyProtection="1">
      <alignment horizontal="center" vertical="top" wrapText="1"/>
    </xf>
    <xf numFmtId="3" fontId="2" fillId="8" borderId="6" xfId="0" applyNumberFormat="1" applyFont="1" applyFill="1" applyBorder="1" applyAlignment="1" applyProtection="1">
      <alignment horizontal="right" vertical="top" wrapText="1"/>
    </xf>
    <xf numFmtId="49" fontId="2" fillId="8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left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</xf>
    <xf numFmtId="4" fontId="3" fillId="8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6" fillId="0" borderId="0" xfId="0" applyFont="1" applyProtection="1">
      <protection locked="0"/>
    </xf>
    <xf numFmtId="3" fontId="6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7" fillId="0" borderId="0" xfId="0" applyFont="1" applyAlignment="1">
      <alignment horizontal="right"/>
    </xf>
    <xf numFmtId="0" fontId="8" fillId="0" borderId="0" xfId="1" applyFont="1"/>
    <xf numFmtId="0" fontId="7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9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9" fillId="10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7" fillId="0" borderId="17" xfId="1" applyFont="1" applyBorder="1" applyAlignment="1" applyProtection="1">
      <alignment horizontal="center" vertical="center" wrapText="1"/>
    </xf>
    <xf numFmtId="0" fontId="7" fillId="0" borderId="6" xfId="1" applyFont="1" applyBorder="1" applyAlignment="1" applyProtection="1">
      <alignment horizontal="center" vertical="center" wrapText="1"/>
    </xf>
    <xf numFmtId="0" fontId="7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7" fillId="11" borderId="6" xfId="0" applyNumberFormat="1" applyFont="1" applyFill="1" applyBorder="1" applyAlignment="1" applyProtection="1"/>
    <xf numFmtId="3" fontId="7" fillId="11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7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7" fillId="0" borderId="0" xfId="1" applyFont="1" applyProtection="1">
      <protection locked="0"/>
    </xf>
    <xf numFmtId="0" fontId="10" fillId="0" borderId="0" xfId="1" applyFont="1" applyProtection="1">
      <protection locked="0"/>
    </xf>
    <xf numFmtId="0" fontId="11" fillId="0" borderId="0" xfId="1" applyFont="1" applyProtection="1">
      <protection locked="0"/>
    </xf>
    <xf numFmtId="0" fontId="12" fillId="0" borderId="0" xfId="1" applyFont="1" applyAlignment="1">
      <alignment horizontal="left" wrapText="1"/>
    </xf>
    <xf numFmtId="49" fontId="13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7" fillId="0" borderId="0" xfId="1" applyFont="1" applyAlignment="1">
      <alignment horizontal="center" vertical="center" wrapText="1"/>
    </xf>
    <xf numFmtId="49" fontId="14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7" fillId="10" borderId="6" xfId="0" applyNumberFormat="1" applyFont="1" applyFill="1" applyBorder="1" applyAlignment="1" applyProtection="1">
      <alignment horizontal="center"/>
    </xf>
    <xf numFmtId="0" fontId="7" fillId="10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7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>
      <selection activeCell="G12" sqref="G12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19.710938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5" customHeight="1">
      <c r="A4" s="4"/>
      <c r="B4" s="4"/>
      <c r="C4" s="4"/>
      <c r="D4" s="5"/>
      <c r="E4" s="5"/>
      <c r="F4" s="5"/>
      <c r="G4" s="5"/>
      <c r="H4" s="6"/>
    </row>
    <row r="5" thickBot="1" ht="13.5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  <c r="I5" s="1"/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5.5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100</v>
      </c>
      <c r="E9" s="21">
        <f>E10+E14+E45+E58+E157+E166+E169+E173+E192+E195</f>
        <v>200</v>
      </c>
      <c r="F9" s="21">
        <f>F10+F14+F45+F58+F157+F166+F169+F173+F192+F195</f>
        <v>30</v>
      </c>
      <c r="G9" s="21">
        <f>G10+G14+G45+G58+G157+G166+G169+G173+G192+G195</f>
        <v>50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100</v>
      </c>
      <c r="E10" s="26">
        <f>E11+E12+E13</f>
        <v>200</v>
      </c>
      <c r="F10" s="26">
        <f>F11+F12+F13</f>
        <v>30</v>
      </c>
      <c r="G10" s="26">
        <f>G11+G12+G13</f>
        <v>50</v>
      </c>
      <c r="H10" s="27"/>
    </row>
    <row r="11" ht="51" customHeight="1">
      <c r="A11" s="28"/>
      <c r="B11" s="29" t="s">
        <v>20</v>
      </c>
      <c r="C11" s="30" t="s">
        <v>21</v>
      </c>
      <c r="D11" s="31">
        <v>100</v>
      </c>
      <c r="E11" s="31">
        <v>200</v>
      </c>
      <c r="F11" s="31">
        <v>30</v>
      </c>
      <c r="G11" s="31">
        <v>50</v>
      </c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/>
      <c r="E12" s="31"/>
      <c r="F12" s="31"/>
      <c r="G12" s="31"/>
      <c r="H12" s="34" t="s">
        <v>25</v>
      </c>
      <c r="I12" s="33"/>
    </row>
    <row r="13" ht="25.5" customHeight="1">
      <c r="A13" s="28"/>
      <c r="B13" s="35" t="s">
        <v>26</v>
      </c>
      <c r="C13" s="30" t="s">
        <v>27</v>
      </c>
      <c r="D13" s="31"/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0</v>
      </c>
      <c r="E14" s="26">
        <f>E15+E18+E24+E37+E41</f>
        <v>0</v>
      </c>
      <c r="F14" s="26">
        <f>F15+F18+F24+F37+F41</f>
        <v>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0</v>
      </c>
      <c r="E15" s="42">
        <f>E16+E17</f>
        <v>0</v>
      </c>
      <c r="F15" s="42">
        <f>F16+F17</f>
        <v>0</v>
      </c>
      <c r="G15" s="42">
        <f>G16+G17</f>
        <v>0</v>
      </c>
      <c r="H15" s="34"/>
      <c r="I15" s="1"/>
    </row>
    <row r="16" s="1" customFormat="1">
      <c r="A16" s="43"/>
      <c r="B16" s="29" t="s">
        <v>35</v>
      </c>
      <c r="C16" s="30" t="s">
        <v>36</v>
      </c>
      <c r="D16" s="31"/>
      <c r="E16" s="31"/>
      <c r="F16" s="31"/>
      <c r="G16" s="31"/>
      <c r="H16" s="34" t="s">
        <v>37</v>
      </c>
      <c r="I16" s="1"/>
    </row>
    <row r="17" s="1" customFormat="1" ht="45" customHeight="1">
      <c r="A17" s="43"/>
      <c r="B17" s="29" t="s">
        <v>38</v>
      </c>
      <c r="C17" s="30" t="s">
        <v>39</v>
      </c>
      <c r="D17" s="31"/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f>D19+D22+D23</f>
        <v>0</v>
      </c>
      <c r="E18" s="42">
        <f>E19+E22+E23</f>
        <v>0</v>
      </c>
      <c r="F18" s="42">
        <f>F19+F22+F23</f>
        <v>0</v>
      </c>
      <c r="G18" s="42">
        <f>G19+G22+G23</f>
        <v>0</v>
      </c>
      <c r="H18" s="34"/>
    </row>
    <row r="19" s="1" customFormat="1">
      <c r="A19" s="39" t="s">
        <v>44</v>
      </c>
      <c r="B19" s="29" t="s">
        <v>45</v>
      </c>
      <c r="C19" s="44" t="s">
        <v>46</v>
      </c>
      <c r="D19" s="45">
        <f>D20+D21</f>
        <v>0</v>
      </c>
      <c r="E19" s="45">
        <f>E20+E21</f>
        <v>0</v>
      </c>
      <c r="F19" s="45">
        <f>F20+F21</f>
        <v>0</v>
      </c>
      <c r="G19" s="45">
        <f>G20+G21</f>
        <v>0</v>
      </c>
      <c r="H19" s="34"/>
    </row>
    <row r="20" s="1" customFormat="1" ht="51" customHeight="1">
      <c r="A20" s="43"/>
      <c r="B20" s="29" t="s">
        <v>47</v>
      </c>
      <c r="C20" s="30" t="s">
        <v>48</v>
      </c>
      <c r="D20" s="31"/>
      <c r="E20" s="31"/>
      <c r="F20" s="31"/>
      <c r="G20" s="31"/>
      <c r="H20" s="32" t="s">
        <v>22</v>
      </c>
    </row>
    <row r="21" s="1" customFormat="1" ht="51" customHeight="1">
      <c r="A21" s="43"/>
      <c r="B21" s="29" t="s">
        <v>49</v>
      </c>
      <c r="C21" s="30" t="s">
        <v>50</v>
      </c>
      <c r="D21" s="31"/>
      <c r="E21" s="31"/>
      <c r="F21" s="31"/>
      <c r="G21" s="31"/>
      <c r="H21" s="34" t="s">
        <v>51</v>
      </c>
    </row>
    <row r="22" s="1" customFormat="1" ht="25.5" customHeight="1">
      <c r="A22" s="39" t="s">
        <v>52</v>
      </c>
      <c r="B22" s="29" t="s">
        <v>53</v>
      </c>
      <c r="C22" s="44" t="s">
        <v>54</v>
      </c>
      <c r="D22" s="31"/>
      <c r="E22" s="31"/>
      <c r="F22" s="31"/>
      <c r="G22" s="31"/>
      <c r="H22" s="34" t="s">
        <v>55</v>
      </c>
      <c r="I22" s="37"/>
    </row>
    <row r="23" s="1" customFormat="1" ht="51" customHeight="1">
      <c r="A23" s="39" t="s">
        <v>56</v>
      </c>
      <c r="B23" s="29" t="s">
        <v>57</v>
      </c>
      <c r="C23" s="44" t="s">
        <v>58</v>
      </c>
      <c r="D23" s="31"/>
      <c r="E23" s="31"/>
      <c r="F23" s="31"/>
      <c r="G23" s="31"/>
      <c r="H23" s="32" t="s">
        <v>22</v>
      </c>
      <c r="I23" s="37"/>
    </row>
    <row r="24" s="1" customFormat="1">
      <c r="A24" s="39" t="s">
        <v>59</v>
      </c>
      <c r="B24" s="40" t="s">
        <v>60</v>
      </c>
      <c r="C24" s="41" t="s">
        <v>61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34"/>
    </row>
    <row r="25" s="1" customFormat="1">
      <c r="A25" s="39" t="s">
        <v>62</v>
      </c>
      <c r="B25" s="29" t="s">
        <v>63</v>
      </c>
      <c r="C25" s="44" t="s">
        <v>64</v>
      </c>
      <c r="D25" s="45">
        <f>D26+D27+D28</f>
        <v>0</v>
      </c>
      <c r="E25" s="45">
        <f>E26+E27+E28</f>
        <v>0</v>
      </c>
      <c r="F25" s="45">
        <f>F26+F27+F28</f>
        <v>0</v>
      </c>
      <c r="G25" s="45">
        <f>G26+G27+G28</f>
        <v>0</v>
      </c>
      <c r="H25" s="34"/>
      <c r="I25" s="1"/>
    </row>
    <row r="26" ht="53.25" customHeight="1">
      <c r="A26" s="28"/>
      <c r="B26" s="46" t="s">
        <v>65</v>
      </c>
      <c r="C26" s="30" t="s">
        <v>66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6" t="s">
        <v>67</v>
      </c>
      <c r="C27" s="30" t="s">
        <v>68</v>
      </c>
      <c r="D27" s="31"/>
      <c r="E27" s="31"/>
      <c r="F27" s="31"/>
      <c r="G27" s="31"/>
      <c r="H27" s="34" t="s">
        <v>51</v>
      </c>
    </row>
    <row r="28" ht="25.5" customHeight="1">
      <c r="A28" s="28"/>
      <c r="B28" s="46" t="s">
        <v>69</v>
      </c>
      <c r="C28" s="30" t="s">
        <v>70</v>
      </c>
      <c r="D28" s="31"/>
      <c r="E28" s="31"/>
      <c r="F28" s="31"/>
      <c r="G28" s="31"/>
      <c r="H28" s="36" t="s">
        <v>28</v>
      </c>
    </row>
    <row r="29" s="1" customFormat="1">
      <c r="A29" s="39" t="s">
        <v>71</v>
      </c>
      <c r="B29" s="29" t="s">
        <v>72</v>
      </c>
      <c r="C29" s="30" t="s">
        <v>73</v>
      </c>
      <c r="D29" s="45">
        <f>D30+D31+D32</f>
        <v>0</v>
      </c>
      <c r="E29" s="45">
        <f>E30+E31+E32</f>
        <v>0</v>
      </c>
      <c r="F29" s="45">
        <f>F30+F31+F32</f>
        <v>0</v>
      </c>
      <c r="G29" s="45">
        <f>G30+G31+G32</f>
        <v>0</v>
      </c>
      <c r="H29" s="34"/>
    </row>
    <row r="30" s="1" customFormat="1" ht="51" customHeight="1">
      <c r="A30" s="43"/>
      <c r="B30" s="46" t="s">
        <v>74</v>
      </c>
      <c r="C30" s="30" t="s">
        <v>75</v>
      </c>
      <c r="D30" s="31"/>
      <c r="E30" s="31"/>
      <c r="F30" s="31"/>
      <c r="G30" s="31"/>
      <c r="H30" s="32" t="s">
        <v>22</v>
      </c>
    </row>
    <row r="31" s="1" customFormat="1" ht="51" customHeight="1">
      <c r="A31" s="43"/>
      <c r="B31" s="46" t="s">
        <v>76</v>
      </c>
      <c r="C31" s="30" t="s">
        <v>77</v>
      </c>
      <c r="D31" s="31"/>
      <c r="E31" s="31"/>
      <c r="F31" s="31"/>
      <c r="G31" s="31"/>
      <c r="H31" s="34" t="s">
        <v>51</v>
      </c>
    </row>
    <row r="32" s="1" customFormat="1" ht="25.5" customHeight="1">
      <c r="A32" s="43"/>
      <c r="B32" s="46" t="s">
        <v>78</v>
      </c>
      <c r="C32" s="30" t="s">
        <v>79</v>
      </c>
      <c r="D32" s="31"/>
      <c r="E32" s="31"/>
      <c r="F32" s="31"/>
      <c r="G32" s="31"/>
      <c r="H32" s="36" t="s">
        <v>28</v>
      </c>
    </row>
    <row r="33" s="1" customFormat="1">
      <c r="A33" s="39" t="s">
        <v>80</v>
      </c>
      <c r="B33" s="29" t="s">
        <v>81</v>
      </c>
      <c r="C33" s="30" t="s">
        <v>82</v>
      </c>
      <c r="D33" s="45">
        <f>D34+D35+D36</f>
        <v>0</v>
      </c>
      <c r="E33" s="45">
        <f>E34+E35+E36</f>
        <v>0</v>
      </c>
      <c r="F33" s="45">
        <f>F34+F35+F36</f>
        <v>0</v>
      </c>
      <c r="G33" s="45">
        <f>G34+G35+G36</f>
        <v>0</v>
      </c>
      <c r="H33" s="47"/>
    </row>
    <row r="34" s="1" customFormat="1" ht="51" customHeight="1">
      <c r="A34" s="43"/>
      <c r="B34" s="46" t="s">
        <v>83</v>
      </c>
      <c r="C34" s="30" t="s">
        <v>84</v>
      </c>
      <c r="D34" s="31"/>
      <c r="E34" s="31"/>
      <c r="F34" s="31"/>
      <c r="G34" s="31"/>
      <c r="H34" s="32" t="s">
        <v>22</v>
      </c>
    </row>
    <row r="35" s="1" customFormat="1" ht="51" customHeight="1">
      <c r="A35" s="43"/>
      <c r="B35" s="46" t="s">
        <v>85</v>
      </c>
      <c r="C35" s="30" t="s">
        <v>86</v>
      </c>
      <c r="D35" s="31"/>
      <c r="E35" s="31"/>
      <c r="F35" s="31"/>
      <c r="G35" s="31"/>
      <c r="H35" s="34" t="s">
        <v>51</v>
      </c>
    </row>
    <row r="36" s="1" customFormat="1" ht="25.5" customHeight="1">
      <c r="A36" s="43"/>
      <c r="B36" s="46" t="s">
        <v>87</v>
      </c>
      <c r="C36" s="30" t="s">
        <v>88</v>
      </c>
      <c r="D36" s="31"/>
      <c r="E36" s="31"/>
      <c r="F36" s="31"/>
      <c r="G36" s="31"/>
      <c r="H36" s="36" t="s">
        <v>28</v>
      </c>
    </row>
    <row r="37">
      <c r="A37" s="48" t="s">
        <v>89</v>
      </c>
      <c r="B37" s="19" t="s">
        <v>90</v>
      </c>
      <c r="C37" s="49" t="s">
        <v>91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0"/>
    </row>
    <row r="38" ht="51" customHeight="1">
      <c r="A38" s="28"/>
      <c r="B38" s="29" t="s">
        <v>92</v>
      </c>
      <c r="C38" s="30" t="s">
        <v>93</v>
      </c>
      <c r="D38" s="31"/>
      <c r="E38" s="31"/>
      <c r="F38" s="31"/>
      <c r="G38" s="31"/>
      <c r="H38" s="34" t="s">
        <v>22</v>
      </c>
    </row>
    <row r="39" ht="51" customHeight="1">
      <c r="A39" s="28"/>
      <c r="B39" s="29" t="s">
        <v>94</v>
      </c>
      <c r="C39" s="30" t="s">
        <v>95</v>
      </c>
      <c r="D39" s="31"/>
      <c r="E39" s="31"/>
      <c r="F39" s="31"/>
      <c r="G39" s="31"/>
      <c r="H39" s="34" t="s">
        <v>51</v>
      </c>
    </row>
    <row r="40" ht="25.5" customHeight="1">
      <c r="A40" s="28"/>
      <c r="B40" s="29" t="s">
        <v>96</v>
      </c>
      <c r="C40" s="30" t="s">
        <v>97</v>
      </c>
      <c r="D40" s="31"/>
      <c r="E40" s="31"/>
      <c r="F40" s="31"/>
      <c r="G40" s="31"/>
      <c r="H40" s="34" t="s">
        <v>28</v>
      </c>
    </row>
    <row r="41">
      <c r="A41" s="48" t="s">
        <v>98</v>
      </c>
      <c r="B41" s="19" t="s">
        <v>99</v>
      </c>
      <c r="C41" s="49" t="s">
        <v>100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0"/>
    </row>
    <row r="42" ht="53.25" customHeight="1">
      <c r="A42" s="28"/>
      <c r="B42" s="18" t="s">
        <v>101</v>
      </c>
      <c r="C42" s="30" t="s">
        <v>102</v>
      </c>
      <c r="D42" s="31"/>
      <c r="E42" s="31"/>
      <c r="F42" s="31"/>
      <c r="G42" s="31"/>
      <c r="H42" s="34" t="s">
        <v>22</v>
      </c>
    </row>
    <row r="43" ht="51" customHeight="1">
      <c r="A43" s="28"/>
      <c r="B43" s="18" t="s">
        <v>103</v>
      </c>
      <c r="C43" s="30" t="s">
        <v>104</v>
      </c>
      <c r="D43" s="31"/>
      <c r="E43" s="31"/>
      <c r="F43" s="31"/>
      <c r="G43" s="31"/>
      <c r="H43" s="34" t="s">
        <v>51</v>
      </c>
    </row>
    <row r="44" ht="25.5" customHeight="1">
      <c r="A44" s="28"/>
      <c r="B44" s="18" t="s">
        <v>105</v>
      </c>
      <c r="C44" s="30" t="s">
        <v>106</v>
      </c>
      <c r="D44" s="31"/>
      <c r="E44" s="31"/>
      <c r="F44" s="31"/>
      <c r="G44" s="31"/>
      <c r="H44" s="34" t="s">
        <v>28</v>
      </c>
    </row>
    <row r="45">
      <c r="A45" s="23" t="s">
        <v>107</v>
      </c>
      <c r="B45" s="24" t="s">
        <v>108</v>
      </c>
      <c r="C45" s="25" t="s">
        <v>109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8" t="s">
        <v>32</v>
      </c>
      <c r="B46" s="19" t="s">
        <v>110</v>
      </c>
      <c r="C46" s="41" t="s">
        <v>111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0"/>
    </row>
    <row r="47" ht="51" customHeight="1">
      <c r="A47" s="28"/>
      <c r="B47" s="18" t="s">
        <v>112</v>
      </c>
      <c r="C47" s="30" t="s">
        <v>113</v>
      </c>
      <c r="D47" s="31"/>
      <c r="E47" s="31"/>
      <c r="F47" s="31"/>
      <c r="G47" s="31"/>
      <c r="H47" s="34" t="s">
        <v>22</v>
      </c>
    </row>
    <row r="48" ht="51" customHeight="1">
      <c r="A48" s="28"/>
      <c r="B48" s="18" t="s">
        <v>114</v>
      </c>
      <c r="C48" s="30" t="s">
        <v>115</v>
      </c>
      <c r="D48" s="31"/>
      <c r="E48" s="31"/>
      <c r="F48" s="31"/>
      <c r="G48" s="31"/>
      <c r="H48" s="34" t="s">
        <v>51</v>
      </c>
    </row>
    <row r="49" ht="25.5" customHeight="1">
      <c r="A49" s="28"/>
      <c r="B49" s="18" t="s">
        <v>116</v>
      </c>
      <c r="C49" s="30" t="s">
        <v>117</v>
      </c>
      <c r="D49" s="31"/>
      <c r="E49" s="31"/>
      <c r="F49" s="31"/>
      <c r="G49" s="31"/>
      <c r="H49" s="34" t="s">
        <v>28</v>
      </c>
    </row>
    <row r="50" ht="12" customHeight="1">
      <c r="A50" s="48" t="s">
        <v>41</v>
      </c>
      <c r="B50" s="19" t="s">
        <v>118</v>
      </c>
      <c r="C50" s="49" t="s">
        <v>119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34"/>
    </row>
    <row r="51" ht="51" customHeight="1">
      <c r="A51" s="28"/>
      <c r="B51" s="51" t="s">
        <v>120</v>
      </c>
      <c r="C51" s="30" t="s">
        <v>121</v>
      </c>
      <c r="D51" s="31"/>
      <c r="E51" s="31"/>
      <c r="F51" s="31"/>
      <c r="G51" s="31"/>
      <c r="H51" s="34" t="s">
        <v>22</v>
      </c>
    </row>
    <row r="52" ht="51" customHeight="1">
      <c r="A52" s="28"/>
      <c r="B52" s="51" t="s">
        <v>122</v>
      </c>
      <c r="C52" s="30" t="s">
        <v>123</v>
      </c>
      <c r="D52" s="31"/>
      <c r="E52" s="31"/>
      <c r="F52" s="31"/>
      <c r="G52" s="31"/>
      <c r="H52" s="34" t="s">
        <v>51</v>
      </c>
    </row>
    <row r="53" ht="25.5" customHeight="1">
      <c r="A53" s="28"/>
      <c r="B53" s="51" t="s">
        <v>124</v>
      </c>
      <c r="C53" s="30" t="s">
        <v>125</v>
      </c>
      <c r="D53" s="31"/>
      <c r="E53" s="31"/>
      <c r="F53" s="31"/>
      <c r="G53" s="31"/>
      <c r="H53" s="34" t="s">
        <v>28</v>
      </c>
    </row>
    <row r="54">
      <c r="A54" s="48" t="s">
        <v>59</v>
      </c>
      <c r="B54" s="19" t="s">
        <v>126</v>
      </c>
      <c r="C54" s="49" t="s">
        <v>127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34"/>
    </row>
    <row r="55" ht="51" customHeight="1">
      <c r="A55" s="28"/>
      <c r="B55" s="46" t="s">
        <v>128</v>
      </c>
      <c r="C55" s="30" t="s">
        <v>129</v>
      </c>
      <c r="D55" s="31"/>
      <c r="E55" s="31"/>
      <c r="F55" s="31"/>
      <c r="G55" s="31"/>
      <c r="H55" s="34" t="s">
        <v>22</v>
      </c>
    </row>
    <row r="56" ht="51" customHeight="1">
      <c r="A56" s="28"/>
      <c r="B56" s="46" t="s">
        <v>130</v>
      </c>
      <c r="C56" s="30" t="s">
        <v>131</v>
      </c>
      <c r="D56" s="31"/>
      <c r="E56" s="31"/>
      <c r="F56" s="31"/>
      <c r="G56" s="31"/>
      <c r="H56" s="34" t="s">
        <v>51</v>
      </c>
    </row>
    <row r="57" ht="25.5" customHeight="1">
      <c r="A57" s="28"/>
      <c r="B57" s="29" t="s">
        <v>132</v>
      </c>
      <c r="C57" s="30" t="s">
        <v>133</v>
      </c>
      <c r="D57" s="31"/>
      <c r="E57" s="31"/>
      <c r="F57" s="31"/>
      <c r="G57" s="31"/>
      <c r="H57" s="34" t="s">
        <v>28</v>
      </c>
    </row>
    <row r="58" s="1" customFormat="1">
      <c r="A58" s="23" t="s">
        <v>134</v>
      </c>
      <c r="B58" s="24" t="s">
        <v>135</v>
      </c>
      <c r="C58" s="25" t="s">
        <v>136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137</v>
      </c>
      <c r="C59" s="41" t="s">
        <v>138</v>
      </c>
      <c r="D59" s="52"/>
      <c r="E59" s="52"/>
      <c r="F59" s="52"/>
      <c r="G59" s="52"/>
      <c r="H59" s="34"/>
    </row>
    <row r="60" s="1" customFormat="1" ht="51" customHeight="1">
      <c r="A60" s="43"/>
      <c r="B60" s="29" t="s">
        <v>139</v>
      </c>
      <c r="C60" s="30" t="s">
        <v>140</v>
      </c>
      <c r="D60" s="45" t="e">
        <f>D59/D202*D203</f>
        <v>#DIV/0!</v>
      </c>
      <c r="E60" s="45" t="e">
        <f>E59/E202*E203</f>
        <v>#DIV/0!</v>
      </c>
      <c r="F60" s="45" t="e">
        <f>F59/F202*F203</f>
        <v>#DIV/0!</v>
      </c>
      <c r="G60" s="45" t="e">
        <f>G59/G202*G203</f>
        <v>#DIV/0!</v>
      </c>
      <c r="H60" s="34" t="s">
        <v>141</v>
      </c>
    </row>
    <row r="61" s="1" customFormat="1" ht="38.25" customHeight="1">
      <c r="A61" s="43"/>
      <c r="B61" s="29" t="s">
        <v>142</v>
      </c>
      <c r="C61" s="30" t="s">
        <v>143</v>
      </c>
      <c r="D61" s="45" t="e">
        <f>D59/D202*D204</f>
        <v>#DIV/0!</v>
      </c>
      <c r="E61" s="45" t="e">
        <f>E59/E202*E204</f>
        <v>#DIV/0!</v>
      </c>
      <c r="F61" s="45" t="e">
        <f>F59/F202*F204</f>
        <v>#DIV/0!</v>
      </c>
      <c r="G61" s="45" t="e">
        <f>G59/G202*G204</f>
        <v>#DIV/0!</v>
      </c>
      <c r="H61" s="34" t="s">
        <v>144</v>
      </c>
    </row>
    <row r="62" s="1" customFormat="1" ht="26.25" customHeight="1">
      <c r="A62" s="43"/>
      <c r="B62" s="29" t="s">
        <v>145</v>
      </c>
      <c r="C62" s="44" t="s">
        <v>146</v>
      </c>
      <c r="D62" s="45" t="e">
        <f>D59/D202*D205</f>
        <v>#DIV/0!</v>
      </c>
      <c r="E62" s="45" t="e">
        <f>E59/E202*E205</f>
        <v>#DIV/0!</v>
      </c>
      <c r="F62" s="45" t="e">
        <f>F59/F202*F205</f>
        <v>#DIV/0!</v>
      </c>
      <c r="G62" s="45" t="e">
        <f>G59/G202*G205</f>
        <v>#DIV/0!</v>
      </c>
      <c r="H62" s="34" t="s">
        <v>147</v>
      </c>
    </row>
    <row r="63" s="1" customFormat="1" ht="23.1" customHeight="1">
      <c r="A63" s="39" t="s">
        <v>41</v>
      </c>
      <c r="B63" s="40" t="s">
        <v>148</v>
      </c>
      <c r="C63" s="41" t="s">
        <v>149</v>
      </c>
      <c r="D63" s="52"/>
      <c r="E63" s="52"/>
      <c r="F63" s="52"/>
      <c r="G63" s="52"/>
      <c r="H63" s="34"/>
    </row>
    <row r="64" s="1" customFormat="1" ht="51" customHeight="1">
      <c r="A64" s="43"/>
      <c r="B64" s="29" t="s">
        <v>139</v>
      </c>
      <c r="C64" s="44" t="s">
        <v>150</v>
      </c>
      <c r="D64" s="45" t="e">
        <f>D63/D202*D203</f>
        <v>#DIV/0!</v>
      </c>
      <c r="E64" s="45" t="e">
        <f>E63/E202*E203</f>
        <v>#DIV/0!</v>
      </c>
      <c r="F64" s="45" t="e">
        <f>F63/F202*F203</f>
        <v>#DIV/0!</v>
      </c>
      <c r="G64" s="45" t="e">
        <f>G63/G202*G203</f>
        <v>#DIV/0!</v>
      </c>
      <c r="H64" s="34" t="s">
        <v>141</v>
      </c>
    </row>
    <row r="65" s="1" customFormat="1" ht="38.25" customHeight="1">
      <c r="A65" s="43"/>
      <c r="B65" s="29" t="s">
        <v>142</v>
      </c>
      <c r="C65" s="44" t="s">
        <v>151</v>
      </c>
      <c r="D65" s="45" t="e">
        <f>D63/D202*D204</f>
        <v>#DIV/0!</v>
      </c>
      <c r="E65" s="45" t="e">
        <f>E63/E202*E204</f>
        <v>#DIV/0!</v>
      </c>
      <c r="F65" s="45" t="e">
        <f>F63/F202*F204</f>
        <v>#DIV/0!</v>
      </c>
      <c r="G65" s="45" t="e">
        <f>G63/G202*G204</f>
        <v>#DIV/0!</v>
      </c>
      <c r="H65" s="34" t="s">
        <v>144</v>
      </c>
    </row>
    <row r="66" s="1" customFormat="1" ht="25.5" customHeight="1">
      <c r="A66" s="43"/>
      <c r="B66" s="29" t="s">
        <v>152</v>
      </c>
      <c r="C66" s="44" t="s">
        <v>153</v>
      </c>
      <c r="D66" s="45" t="e">
        <f>D63/D202*D205</f>
        <v>#DIV/0!</v>
      </c>
      <c r="E66" s="45" t="e">
        <f>E63/E202*E205</f>
        <v>#DIV/0!</v>
      </c>
      <c r="F66" s="45" t="e">
        <f>F63/F202*F205</f>
        <v>#DIV/0!</v>
      </c>
      <c r="G66" s="45" t="e">
        <f>G63/G202*G205</f>
        <v>#DIV/0!</v>
      </c>
      <c r="H66" s="32" t="s">
        <v>147</v>
      </c>
    </row>
    <row r="67" s="1" customFormat="1" ht="20.25" customHeight="1">
      <c r="A67" s="39" t="s">
        <v>59</v>
      </c>
      <c r="B67" s="40" t="s">
        <v>154</v>
      </c>
      <c r="C67" s="41" t="s">
        <v>155</v>
      </c>
      <c r="D67" s="52"/>
      <c r="E67" s="52"/>
      <c r="F67" s="52"/>
      <c r="G67" s="52"/>
      <c r="H67" s="34"/>
    </row>
    <row r="68" s="1" customFormat="1" ht="51" customHeight="1">
      <c r="A68" s="43"/>
      <c r="B68" s="29" t="s">
        <v>139</v>
      </c>
      <c r="C68" s="44" t="s">
        <v>156</v>
      </c>
      <c r="D68" s="45" t="e">
        <f>D67/D202*D203</f>
        <v>#DIV/0!</v>
      </c>
      <c r="E68" s="45" t="e">
        <f>E67/E202*E203</f>
        <v>#DIV/0!</v>
      </c>
      <c r="F68" s="45" t="e">
        <f>F67/F202*F203</f>
        <v>#DIV/0!</v>
      </c>
      <c r="G68" s="45" t="e">
        <f>G67/G202*G203</f>
        <v>#DIV/0!</v>
      </c>
      <c r="H68" s="34" t="s">
        <v>141</v>
      </c>
    </row>
    <row r="69" s="1" customFormat="1" ht="38.25" customHeight="1">
      <c r="A69" s="43"/>
      <c r="B69" s="29" t="s">
        <v>142</v>
      </c>
      <c r="C69" s="44" t="s">
        <v>157</v>
      </c>
      <c r="D69" s="45" t="e">
        <f>D67/D202*D204</f>
        <v>#DIV/0!</v>
      </c>
      <c r="E69" s="45" t="e">
        <f>E67/E202*E204</f>
        <v>#DIV/0!</v>
      </c>
      <c r="F69" s="45" t="e">
        <f>F67/F202*F204</f>
        <v>#DIV/0!</v>
      </c>
      <c r="G69" s="45" t="e">
        <f>G67/G202*G204</f>
        <v>#DIV/0!</v>
      </c>
      <c r="H69" s="34" t="s">
        <v>144</v>
      </c>
    </row>
    <row r="70" s="1" customFormat="1" ht="24.75" customHeight="1">
      <c r="A70" s="43"/>
      <c r="B70" s="29" t="s">
        <v>158</v>
      </c>
      <c r="C70" s="44" t="s">
        <v>159</v>
      </c>
      <c r="D70" s="45" t="e">
        <f>D67/D202*D205</f>
        <v>#DIV/0!</v>
      </c>
      <c r="E70" s="45" t="e">
        <f>E67/E202*E205</f>
        <v>#DIV/0!</v>
      </c>
      <c r="F70" s="45" t="e">
        <f>F67/F202*F205</f>
        <v>#DIV/0!</v>
      </c>
      <c r="G70" s="45" t="e">
        <f>G67/G202*G205</f>
        <v>#DIV/0!</v>
      </c>
      <c r="H70" s="32" t="s">
        <v>147</v>
      </c>
    </row>
    <row r="71" s="1" customFormat="1">
      <c r="A71" s="39" t="s">
        <v>89</v>
      </c>
      <c r="B71" s="40" t="s">
        <v>160</v>
      </c>
      <c r="C71" s="41" t="s">
        <v>161</v>
      </c>
      <c r="D71" s="52"/>
      <c r="E71" s="52"/>
      <c r="F71" s="52"/>
      <c r="G71" s="52"/>
      <c r="H71" s="34"/>
    </row>
    <row r="72" s="1" customFormat="1" ht="51" customHeight="1">
      <c r="A72" s="43"/>
      <c r="B72" s="29" t="s">
        <v>139</v>
      </c>
      <c r="C72" s="44" t="s">
        <v>162</v>
      </c>
      <c r="D72" s="45" t="e">
        <f>D71/D202*D203</f>
        <v>#DIV/0!</v>
      </c>
      <c r="E72" s="45" t="e">
        <f>E71/E202*E203</f>
        <v>#DIV/0!</v>
      </c>
      <c r="F72" s="45" t="e">
        <f>F71/F202*F203</f>
        <v>#DIV/0!</v>
      </c>
      <c r="G72" s="45" t="e">
        <f>G71/G202*G203</f>
        <v>#DIV/0!</v>
      </c>
      <c r="H72" s="34" t="s">
        <v>141</v>
      </c>
    </row>
    <row r="73" s="1" customFormat="1" ht="38.25" customHeight="1">
      <c r="A73" s="43"/>
      <c r="B73" s="29" t="s">
        <v>142</v>
      </c>
      <c r="C73" s="44" t="s">
        <v>163</v>
      </c>
      <c r="D73" s="45" t="e">
        <f>D71/D202*D204</f>
        <v>#DIV/0!</v>
      </c>
      <c r="E73" s="45" t="e">
        <f>E71/E202*E204</f>
        <v>#DIV/0!</v>
      </c>
      <c r="F73" s="45" t="e">
        <f>F71/F202*F204</f>
        <v>#DIV/0!</v>
      </c>
      <c r="G73" s="45" t="e">
        <f>G71/G202*G204</f>
        <v>#DIV/0!</v>
      </c>
      <c r="H73" s="34" t="s">
        <v>144</v>
      </c>
    </row>
    <row r="74" s="1" customFormat="1" ht="27" customHeight="1">
      <c r="A74" s="43"/>
      <c r="B74" s="29" t="s">
        <v>145</v>
      </c>
      <c r="C74" s="44" t="s">
        <v>164</v>
      </c>
      <c r="D74" s="45" t="e">
        <f>D71/D202*D205</f>
        <v>#DIV/0!</v>
      </c>
      <c r="E74" s="45" t="e">
        <f>E71/E202*E205</f>
        <v>#DIV/0!</v>
      </c>
      <c r="F74" s="45" t="e">
        <f>F71/F202*F205</f>
        <v>#DIV/0!</v>
      </c>
      <c r="G74" s="45" t="e">
        <f>G71/G202*G205</f>
        <v>#DIV/0!</v>
      </c>
      <c r="H74" s="32" t="s">
        <v>147</v>
      </c>
    </row>
    <row r="75" s="1" customFormat="1">
      <c r="A75" s="39" t="s">
        <v>98</v>
      </c>
      <c r="B75" s="40" t="s">
        <v>165</v>
      </c>
      <c r="C75" s="41" t="s">
        <v>166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34"/>
    </row>
    <row r="76" s="1" customFormat="1">
      <c r="A76" s="53"/>
      <c r="B76" s="54" t="s">
        <v>167</v>
      </c>
      <c r="C76" s="55" t="s">
        <v>168</v>
      </c>
      <c r="D76" s="56"/>
      <c r="E76" s="56"/>
      <c r="F76" s="56"/>
      <c r="G76" s="56"/>
      <c r="H76" s="57" t="s">
        <v>169</v>
      </c>
    </row>
    <row r="77" s="1" customFormat="1">
      <c r="A77" s="43"/>
      <c r="B77" s="29" t="s">
        <v>170</v>
      </c>
      <c r="C77" s="44"/>
      <c r="D77" s="31"/>
      <c r="E77" s="31"/>
      <c r="F77" s="31"/>
      <c r="G77" s="31"/>
      <c r="H77" s="32"/>
    </row>
    <row r="78" s="1" customFormat="1" ht="51" customHeight="1">
      <c r="A78" s="43"/>
      <c r="B78" s="29" t="s">
        <v>139</v>
      </c>
      <c r="C78" s="44" t="s">
        <v>171</v>
      </c>
      <c r="D78" s="45" t="e">
        <f>D77/D202*D203</f>
        <v>#DIV/0!</v>
      </c>
      <c r="E78" s="45" t="e">
        <f>E77/E202*E203</f>
        <v>#DIV/0!</v>
      </c>
      <c r="F78" s="45" t="e">
        <f>F77/F202*F203</f>
        <v>#DIV/0!</v>
      </c>
      <c r="G78" s="45" t="e">
        <f>G77/G202*G203</f>
        <v>#DIV/0!</v>
      </c>
      <c r="H78" s="32" t="s">
        <v>141</v>
      </c>
    </row>
    <row r="79" s="1" customFormat="1" ht="38.25" customHeight="1">
      <c r="A79" s="43"/>
      <c r="B79" s="29" t="s">
        <v>142</v>
      </c>
      <c r="C79" s="44" t="s">
        <v>172</v>
      </c>
      <c r="D79" s="45" t="e">
        <f>D77/D202*D204</f>
        <v>#DIV/0!</v>
      </c>
      <c r="E79" s="45" t="e">
        <f>E77/E202*E204</f>
        <v>#DIV/0!</v>
      </c>
      <c r="F79" s="45" t="e">
        <f>F77/F202*F204</f>
        <v>#DIV/0!</v>
      </c>
      <c r="G79" s="45" t="e">
        <f>G77/G202*G204</f>
        <v>#DIV/0!</v>
      </c>
      <c r="H79" s="34" t="s">
        <v>144</v>
      </c>
    </row>
    <row r="80" s="1" customFormat="1" ht="28.5" customHeight="1">
      <c r="A80" s="43"/>
      <c r="B80" s="29" t="s">
        <v>173</v>
      </c>
      <c r="C80" s="44" t="s">
        <v>174</v>
      </c>
      <c r="D80" s="45" t="e">
        <f>D77/D202*D205</f>
        <v>#DIV/0!</v>
      </c>
      <c r="E80" s="45" t="e">
        <f>E77/E202*E205</f>
        <v>#DIV/0!</v>
      </c>
      <c r="F80" s="45" t="e">
        <f>F77/F202*F205</f>
        <v>#DIV/0!</v>
      </c>
      <c r="G80" s="45" t="e">
        <f>G77/G202*G205</f>
        <v>#DIV/0!</v>
      </c>
      <c r="H80" s="32" t="s">
        <v>147</v>
      </c>
    </row>
    <row r="81" s="1" customFormat="1">
      <c r="A81" s="39" t="s">
        <v>175</v>
      </c>
      <c r="B81" s="40" t="s">
        <v>176</v>
      </c>
      <c r="C81" s="58" t="s">
        <v>177</v>
      </c>
      <c r="D81" s="52"/>
      <c r="E81" s="52"/>
      <c r="F81" s="52"/>
      <c r="G81" s="52"/>
      <c r="H81" s="34"/>
    </row>
    <row r="82" s="1" customFormat="1" ht="51" customHeight="1">
      <c r="A82" s="43"/>
      <c r="B82" s="29" t="s">
        <v>139</v>
      </c>
      <c r="C82" s="30" t="s">
        <v>178</v>
      </c>
      <c r="D82" s="45" t="e">
        <f>D81/D202*D203</f>
        <v>#DIV/0!</v>
      </c>
      <c r="E82" s="45" t="e">
        <f>E81/E202*E203</f>
        <v>#DIV/0!</v>
      </c>
      <c r="F82" s="45" t="e">
        <f>F81/F202*F203</f>
        <v>#DIV/0!</v>
      </c>
      <c r="G82" s="45" t="e">
        <f>G81/G202*G203</f>
        <v>#DIV/0!</v>
      </c>
      <c r="H82" s="34" t="s">
        <v>141</v>
      </c>
    </row>
    <row r="83" s="1" customFormat="1" ht="38.25" customHeight="1">
      <c r="A83" s="43"/>
      <c r="B83" s="29" t="s">
        <v>142</v>
      </c>
      <c r="C83" s="30" t="s">
        <v>179</v>
      </c>
      <c r="D83" s="45" t="e">
        <f>D81/D202*D204</f>
        <v>#DIV/0!</v>
      </c>
      <c r="E83" s="45" t="e">
        <f>E81/E202*E204</f>
        <v>#DIV/0!</v>
      </c>
      <c r="F83" s="45" t="e">
        <f>F81/F202*F204</f>
        <v>#DIV/0!</v>
      </c>
      <c r="G83" s="45" t="e">
        <f>G81/G202*G204</f>
        <v>#DIV/0!</v>
      </c>
      <c r="H83" s="34" t="s">
        <v>144</v>
      </c>
    </row>
    <row r="84" s="1" customFormat="1" ht="25.5" customHeight="1">
      <c r="A84" s="43"/>
      <c r="B84" s="29" t="s">
        <v>145</v>
      </c>
      <c r="C84" s="30" t="s">
        <v>180</v>
      </c>
      <c r="D84" s="45" t="e">
        <f>D81/D202*D205</f>
        <v>#DIV/0!</v>
      </c>
      <c r="E84" s="45" t="e">
        <f>E81/E202*E205</f>
        <v>#DIV/0!</v>
      </c>
      <c r="F84" s="45" t="e">
        <f>F81/F202*F205</f>
        <v>#DIV/0!</v>
      </c>
      <c r="G84" s="45" t="e">
        <f>G81/G202*G205</f>
        <v>#DIV/0!</v>
      </c>
      <c r="H84" s="32" t="s">
        <v>147</v>
      </c>
    </row>
    <row r="85" s="1" customFormat="1">
      <c r="A85" s="39" t="s">
        <v>181</v>
      </c>
      <c r="B85" s="40" t="s">
        <v>182</v>
      </c>
      <c r="C85" s="41" t="s">
        <v>183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34"/>
    </row>
    <row r="86" s="1" customFormat="1">
      <c r="A86" s="39" t="s">
        <v>184</v>
      </c>
      <c r="B86" s="29" t="s">
        <v>185</v>
      </c>
      <c r="C86" s="44" t="s">
        <v>186</v>
      </c>
      <c r="D86" s="31"/>
      <c r="E86" s="31"/>
      <c r="F86" s="31"/>
      <c r="G86" s="31"/>
      <c r="H86" s="34"/>
    </row>
    <row r="87" s="1" customFormat="1" ht="51" customHeight="1">
      <c r="A87" s="43"/>
      <c r="B87" s="29" t="s">
        <v>139</v>
      </c>
      <c r="C87" s="44" t="s">
        <v>187</v>
      </c>
      <c r="D87" s="45" t="e">
        <f>D86/D202*D203</f>
        <v>#DIV/0!</v>
      </c>
      <c r="E87" s="45" t="e">
        <f>E86/E202*E203</f>
        <v>#DIV/0!</v>
      </c>
      <c r="F87" s="45" t="e">
        <f>F86/F202*F203</f>
        <v>#DIV/0!</v>
      </c>
      <c r="G87" s="45" t="e">
        <f>G86/G202*G203</f>
        <v>#DIV/0!</v>
      </c>
      <c r="H87" s="34" t="s">
        <v>141</v>
      </c>
    </row>
    <row r="88" s="1" customFormat="1" ht="38.25" customHeight="1">
      <c r="A88" s="43"/>
      <c r="B88" s="29" t="s">
        <v>142</v>
      </c>
      <c r="C88" s="44" t="s">
        <v>188</v>
      </c>
      <c r="D88" s="45" t="e">
        <f>D86/D202*D204</f>
        <v>#DIV/0!</v>
      </c>
      <c r="E88" s="45" t="e">
        <f>E86/E202*E204</f>
        <v>#DIV/0!</v>
      </c>
      <c r="F88" s="45" t="e">
        <f>F86/F202*F204</f>
        <v>#DIV/0!</v>
      </c>
      <c r="G88" s="45" t="e">
        <f>G86/G202*G204</f>
        <v>#DIV/0!</v>
      </c>
      <c r="H88" s="34" t="s">
        <v>144</v>
      </c>
    </row>
    <row r="89" s="1" customFormat="1" ht="25.5" customHeight="1">
      <c r="A89" s="43"/>
      <c r="B89" s="29" t="s">
        <v>145</v>
      </c>
      <c r="C89" s="44">
        <v>1020013</v>
      </c>
      <c r="D89" s="45" t="e">
        <f>D86/D202*D205</f>
        <v>#DIV/0!</v>
      </c>
      <c r="E89" s="45" t="e">
        <f>E86/E202*E205</f>
        <v>#DIV/0!</v>
      </c>
      <c r="F89" s="45" t="e">
        <f>F86/F202*F205</f>
        <v>#DIV/0!</v>
      </c>
      <c r="G89" s="45" t="e">
        <f>G86/G202*G205</f>
        <v>#DIV/0!</v>
      </c>
      <c r="H89" s="32" t="s">
        <v>147</v>
      </c>
    </row>
    <row r="90" s="1" customFormat="1">
      <c r="A90" s="39" t="s">
        <v>189</v>
      </c>
      <c r="B90" s="29" t="s">
        <v>190</v>
      </c>
      <c r="C90" s="44" t="s">
        <v>191</v>
      </c>
      <c r="D90" s="45">
        <f>D91+D92</f>
        <v>0</v>
      </c>
      <c r="E90" s="45">
        <f>E91+E92</f>
        <v>0</v>
      </c>
      <c r="F90" s="45">
        <f>F91+F92</f>
        <v>0</v>
      </c>
      <c r="G90" s="45">
        <f>G91+G92</f>
        <v>0</v>
      </c>
      <c r="H90" s="34"/>
    </row>
    <row r="91" s="1" customFormat="1">
      <c r="A91" s="53"/>
      <c r="B91" s="54" t="s">
        <v>192</v>
      </c>
      <c r="C91" s="55">
        <v>1020021</v>
      </c>
      <c r="D91" s="56"/>
      <c r="E91" s="56"/>
      <c r="F91" s="56"/>
      <c r="G91" s="56"/>
      <c r="H91" s="57" t="s">
        <v>169</v>
      </c>
    </row>
    <row r="92" s="1" customFormat="1">
      <c r="A92" s="43"/>
      <c r="B92" s="29" t="s">
        <v>193</v>
      </c>
      <c r="C92" s="44"/>
      <c r="D92" s="31"/>
      <c r="E92" s="31"/>
      <c r="F92" s="31"/>
      <c r="G92" s="31"/>
      <c r="H92" s="32"/>
    </row>
    <row r="93" s="1" customFormat="1" ht="51" customHeight="1">
      <c r="A93" s="43"/>
      <c r="B93" s="29" t="s">
        <v>139</v>
      </c>
      <c r="C93" s="44" t="s">
        <v>194</v>
      </c>
      <c r="D93" s="45" t="e">
        <f>D92/D202*D203</f>
        <v>#DIV/0!</v>
      </c>
      <c r="E93" s="45" t="e">
        <f>E92/E202*E203</f>
        <v>#DIV/0!</v>
      </c>
      <c r="F93" s="45" t="e">
        <f>F92/F202*F203</f>
        <v>#DIV/0!</v>
      </c>
      <c r="G93" s="45" t="e">
        <f>G92/G202*G203</f>
        <v>#DIV/0!</v>
      </c>
      <c r="H93" s="34" t="s">
        <v>141</v>
      </c>
    </row>
    <row r="94" s="1" customFormat="1" ht="38.25" customHeight="1">
      <c r="A94" s="43"/>
      <c r="B94" s="29" t="s">
        <v>142</v>
      </c>
      <c r="C94" s="44" t="s">
        <v>195</v>
      </c>
      <c r="D94" s="45" t="e">
        <f>D92/D202*D204</f>
        <v>#DIV/0!</v>
      </c>
      <c r="E94" s="45" t="e">
        <f>E92/E202*E204</f>
        <v>#DIV/0!</v>
      </c>
      <c r="F94" s="45" t="e">
        <f>F92/F202*F204</f>
        <v>#DIV/0!</v>
      </c>
      <c r="G94" s="45" t="e">
        <f>G92/G202*G204</f>
        <v>#DIV/0!</v>
      </c>
      <c r="H94" s="34" t="s">
        <v>144</v>
      </c>
    </row>
    <row r="95" s="1" customFormat="1" ht="25.5" customHeight="1">
      <c r="A95" s="43"/>
      <c r="B95" s="29" t="s">
        <v>145</v>
      </c>
      <c r="C95" s="44">
        <v>1020023</v>
      </c>
      <c r="D95" s="45" t="e">
        <f>D92/D202*D205</f>
        <v>#DIV/0!</v>
      </c>
      <c r="E95" s="45" t="e">
        <f>E92/E202*E205</f>
        <v>#DIV/0!</v>
      </c>
      <c r="F95" s="45" t="e">
        <f>F92/F202*F205</f>
        <v>#DIV/0!</v>
      </c>
      <c r="G95" s="45" t="e">
        <f>G92/G202*G205</f>
        <v>#DIV/0!</v>
      </c>
      <c r="H95" s="32" t="s">
        <v>147</v>
      </c>
    </row>
    <row r="96" s="1" customFormat="1">
      <c r="A96" s="39" t="s">
        <v>196</v>
      </c>
      <c r="B96" s="29" t="s">
        <v>197</v>
      </c>
      <c r="C96" s="44" t="s">
        <v>198</v>
      </c>
      <c r="D96" s="31"/>
      <c r="E96" s="31"/>
      <c r="F96" s="31"/>
      <c r="G96" s="31"/>
      <c r="H96" s="34"/>
    </row>
    <row r="97" s="1" customFormat="1" ht="51" customHeight="1">
      <c r="A97" s="43"/>
      <c r="B97" s="29" t="s">
        <v>139</v>
      </c>
      <c r="C97" s="44" t="s">
        <v>199</v>
      </c>
      <c r="D97" s="45" t="e">
        <f>D96/D202*D203</f>
        <v>#DIV/0!</v>
      </c>
      <c r="E97" s="45" t="e">
        <f>E96/E202*E203</f>
        <v>#DIV/0!</v>
      </c>
      <c r="F97" s="45" t="e">
        <f>F96/F202*F203</f>
        <v>#DIV/0!</v>
      </c>
      <c r="G97" s="45" t="e">
        <f>G96/G202*G203</f>
        <v>#DIV/0!</v>
      </c>
      <c r="H97" s="34" t="s">
        <v>141</v>
      </c>
    </row>
    <row r="98" s="1" customFormat="1" ht="38.25" customHeight="1">
      <c r="A98" s="43"/>
      <c r="B98" s="29" t="s">
        <v>142</v>
      </c>
      <c r="C98" s="44" t="s">
        <v>200</v>
      </c>
      <c r="D98" s="45" t="e">
        <f>D96/D202*D204</f>
        <v>#DIV/0!</v>
      </c>
      <c r="E98" s="45" t="e">
        <f>E96/E202*E204</f>
        <v>#DIV/0!</v>
      </c>
      <c r="F98" s="45" t="e">
        <f>F96/F202*F204</f>
        <v>#DIV/0!</v>
      </c>
      <c r="G98" s="45" t="e">
        <f>G96/G202*G204</f>
        <v>#DIV/0!</v>
      </c>
      <c r="H98" s="34" t="s">
        <v>144</v>
      </c>
    </row>
    <row r="99" s="1" customFormat="1" ht="25.5" customHeight="1">
      <c r="A99" s="43"/>
      <c r="B99" s="29" t="s">
        <v>145</v>
      </c>
      <c r="C99" s="44">
        <v>1020032</v>
      </c>
      <c r="D99" s="45" t="e">
        <f>D96/D202*D205</f>
        <v>#DIV/0!</v>
      </c>
      <c r="E99" s="45" t="e">
        <f>E96/E202*E205</f>
        <v>#DIV/0!</v>
      </c>
      <c r="F99" s="45" t="e">
        <f>F96/F202*F205</f>
        <v>#DIV/0!</v>
      </c>
      <c r="G99" s="45" t="e">
        <f>G96/G202*G205</f>
        <v>#DIV/0!</v>
      </c>
      <c r="H99" s="32" t="s">
        <v>147</v>
      </c>
    </row>
    <row r="100" s="1" customFormat="1">
      <c r="A100" s="59" t="s">
        <v>201</v>
      </c>
      <c r="B100" s="54" t="s">
        <v>202</v>
      </c>
      <c r="C100" s="55" t="s">
        <v>203</v>
      </c>
      <c r="D100" s="56"/>
      <c r="E100" s="56"/>
      <c r="F100" s="56"/>
      <c r="G100" s="56"/>
      <c r="H100" s="57" t="s">
        <v>169</v>
      </c>
      <c r="I100" s="33"/>
    </row>
    <row r="101" s="1" customFormat="1">
      <c r="A101" s="59" t="s">
        <v>204</v>
      </c>
      <c r="B101" s="54" t="s">
        <v>205</v>
      </c>
      <c r="C101" s="55" t="s">
        <v>206</v>
      </c>
      <c r="D101" s="56"/>
      <c r="E101" s="56"/>
      <c r="F101" s="56"/>
      <c r="G101" s="56"/>
      <c r="H101" s="57" t="s">
        <v>169</v>
      </c>
      <c r="I101" s="33"/>
    </row>
    <row r="102" s="1" customFormat="1" ht="25.5" customHeight="1">
      <c r="A102" s="39" t="s">
        <v>207</v>
      </c>
      <c r="B102" s="29" t="s">
        <v>208</v>
      </c>
      <c r="C102" s="44" t="s">
        <v>209</v>
      </c>
      <c r="D102" s="31"/>
      <c r="E102" s="31"/>
      <c r="F102" s="31"/>
      <c r="G102" s="31"/>
      <c r="H102" s="34" t="s">
        <v>210</v>
      </c>
    </row>
    <row r="103" s="1" customFormat="1" ht="35.25" customHeight="1">
      <c r="A103" s="39" t="s">
        <v>211</v>
      </c>
      <c r="B103" s="29" t="s">
        <v>212</v>
      </c>
      <c r="C103" s="44" t="s">
        <v>213</v>
      </c>
      <c r="D103" s="31"/>
      <c r="E103" s="31"/>
      <c r="F103" s="31"/>
      <c r="G103" s="31"/>
      <c r="H103" s="34" t="s">
        <v>210</v>
      </c>
      <c r="I103" s="60"/>
    </row>
    <row r="104" s="1" customFormat="1" ht="51" customHeight="1">
      <c r="A104" s="39" t="s">
        <v>214</v>
      </c>
      <c r="B104" s="29" t="s">
        <v>215</v>
      </c>
      <c r="C104" s="44" t="s">
        <v>216</v>
      </c>
      <c r="D104" s="31"/>
      <c r="E104" s="31"/>
      <c r="F104" s="31"/>
      <c r="G104" s="31"/>
      <c r="H104" s="34" t="s">
        <v>217</v>
      </c>
    </row>
    <row r="105">
      <c r="A105" s="48" t="s">
        <v>218</v>
      </c>
      <c r="B105" s="18" t="s">
        <v>219</v>
      </c>
      <c r="C105" s="61" t="s">
        <v>220</v>
      </c>
      <c r="D105" s="62"/>
      <c r="E105" s="62"/>
      <c r="F105" s="62"/>
      <c r="G105" s="62"/>
      <c r="H105" s="50"/>
    </row>
    <row r="106" ht="51" customHeight="1">
      <c r="A106" s="28"/>
      <c r="B106" s="29" t="s">
        <v>139</v>
      </c>
      <c r="C106" s="61" t="s">
        <v>221</v>
      </c>
      <c r="D106" s="63" t="e">
        <f>D105/D202*D203</f>
        <v>#DIV/0!</v>
      </c>
      <c r="E106" s="63" t="e">
        <f>E105/E202*E203</f>
        <v>#DIV/0!</v>
      </c>
      <c r="F106" s="63" t="e">
        <f>F105/F202*F203</f>
        <v>#DIV/0!</v>
      </c>
      <c r="G106" s="63" t="e">
        <f>G105/G202*G203</f>
        <v>#DIV/0!</v>
      </c>
      <c r="H106" s="34" t="s">
        <v>141</v>
      </c>
    </row>
    <row r="107" ht="38.25" customHeight="1">
      <c r="A107" s="28"/>
      <c r="B107" s="29" t="s">
        <v>142</v>
      </c>
      <c r="C107" s="61" t="s">
        <v>222</v>
      </c>
      <c r="D107" s="63" t="e">
        <f>D105/D202*D204</f>
        <v>#DIV/0!</v>
      </c>
      <c r="E107" s="63" t="e">
        <f>E105/E202*E204</f>
        <v>#DIV/0!</v>
      </c>
      <c r="F107" s="63" t="e">
        <f>F105/F202*F204</f>
        <v>#DIV/0!</v>
      </c>
      <c r="G107" s="63" t="e">
        <f>G105/G202*G204</f>
        <v>#DIV/0!</v>
      </c>
      <c r="H107" s="34" t="s">
        <v>144</v>
      </c>
    </row>
    <row r="108" ht="25.5" customHeight="1">
      <c r="A108" s="28"/>
      <c r="B108" s="18" t="s">
        <v>145</v>
      </c>
      <c r="C108" s="61">
        <v>1020092</v>
      </c>
      <c r="D108" s="63" t="e">
        <f>D105/D202*D205</f>
        <v>#DIV/0!</v>
      </c>
      <c r="E108" s="63" t="e">
        <f>E105/E202*E205</f>
        <v>#DIV/0!</v>
      </c>
      <c r="F108" s="63" t="e">
        <f>F105/F202*F205</f>
        <v>#DIV/0!</v>
      </c>
      <c r="G108" s="63" t="e">
        <f>G105/G202*G205</f>
        <v>#DIV/0!</v>
      </c>
      <c r="H108" s="32" t="s">
        <v>147</v>
      </c>
    </row>
    <row r="109" ht="25.5" customHeight="1">
      <c r="A109" s="39" t="s">
        <v>223</v>
      </c>
      <c r="B109" s="29" t="s">
        <v>81</v>
      </c>
      <c r="C109" s="64">
        <v>102010</v>
      </c>
      <c r="D109" s="31"/>
      <c r="E109" s="31"/>
      <c r="F109" s="31"/>
      <c r="G109" s="31"/>
      <c r="H109" s="34"/>
      <c r="I109" s="1"/>
    </row>
    <row r="110" ht="51" customHeight="1">
      <c r="A110" s="43"/>
      <c r="B110" s="29" t="s">
        <v>139</v>
      </c>
      <c r="C110" s="64" t="s">
        <v>224</v>
      </c>
      <c r="D110" s="45" t="e">
        <f>D109/D202*D203</f>
        <v>#DIV/0!</v>
      </c>
      <c r="E110" s="45" t="e">
        <f>E109/E202*E203</f>
        <v>#DIV/0!</v>
      </c>
      <c r="F110" s="45" t="e">
        <f>F109/F202*F203</f>
        <v>#DIV/0!</v>
      </c>
      <c r="G110" s="45" t="e">
        <f>G109/G202*G203</f>
        <v>#DIV/0!</v>
      </c>
      <c r="H110" s="34" t="s">
        <v>141</v>
      </c>
      <c r="I110" s="1"/>
    </row>
    <row r="111" ht="38.25" customHeight="1">
      <c r="A111" s="43"/>
      <c r="B111" s="29" t="s">
        <v>142</v>
      </c>
      <c r="C111" s="64" t="s">
        <v>225</v>
      </c>
      <c r="D111" s="45" t="e">
        <f>D109/D202*D204</f>
        <v>#DIV/0!</v>
      </c>
      <c r="E111" s="45" t="e">
        <f>E109/E202*E204</f>
        <v>#DIV/0!</v>
      </c>
      <c r="F111" s="45" t="e">
        <f>F109/F202*F204</f>
        <v>#DIV/0!</v>
      </c>
      <c r="G111" s="45" t="e">
        <f>G109/G202*G204</f>
        <v>#DIV/0!</v>
      </c>
      <c r="H111" s="34" t="s">
        <v>144</v>
      </c>
      <c r="I111" s="1"/>
    </row>
    <row r="112" ht="25.5" customHeight="1">
      <c r="A112" s="43"/>
      <c r="B112" s="18" t="s">
        <v>145</v>
      </c>
      <c r="C112" s="64">
        <v>1020102</v>
      </c>
      <c r="D112" s="45" t="e">
        <f>D109/D202*D205</f>
        <v>#DIV/0!</v>
      </c>
      <c r="E112" s="45" t="e">
        <f>E109/E202*E205</f>
        <v>#DIV/0!</v>
      </c>
      <c r="F112" s="45" t="e">
        <f>F109/F202*F205</f>
        <v>#DIV/0!</v>
      </c>
      <c r="G112" s="45" t="e">
        <f>G109/G202*G205</f>
        <v>#DIV/0!</v>
      </c>
      <c r="H112" s="32" t="s">
        <v>147</v>
      </c>
      <c r="I112" s="1"/>
    </row>
    <row r="113" s="1" customFormat="1">
      <c r="A113" s="39" t="s">
        <v>226</v>
      </c>
      <c r="B113" s="40" t="s">
        <v>227</v>
      </c>
      <c r="C113" s="41" t="s">
        <v>228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34"/>
    </row>
    <row r="114" s="1" customFormat="1">
      <c r="A114" s="39" t="s">
        <v>229</v>
      </c>
      <c r="B114" s="29" t="s">
        <v>230</v>
      </c>
      <c r="C114" s="44" t="s">
        <v>231</v>
      </c>
      <c r="D114" s="31"/>
      <c r="E114" s="31"/>
      <c r="F114" s="31"/>
      <c r="G114" s="31"/>
      <c r="H114" s="34"/>
    </row>
    <row r="115" s="1" customFormat="1" ht="51" customHeight="1">
      <c r="A115" s="43"/>
      <c r="B115" s="29" t="s">
        <v>139</v>
      </c>
      <c r="C115" s="44" t="s">
        <v>232</v>
      </c>
      <c r="D115" s="45" t="e">
        <f>D114/D202*D203</f>
        <v>#DIV/0!</v>
      </c>
      <c r="E115" s="45" t="e">
        <f>E114/E202*E203</f>
        <v>#DIV/0!</v>
      </c>
      <c r="F115" s="45" t="e">
        <f>F114/F202*F203</f>
        <v>#DIV/0!</v>
      </c>
      <c r="G115" s="45" t="e">
        <f>G114/G202*G203</f>
        <v>#DIV/0!</v>
      </c>
      <c r="H115" s="34" t="s">
        <v>141</v>
      </c>
    </row>
    <row r="116" s="1" customFormat="1" ht="38.25" customHeight="1">
      <c r="A116" s="43"/>
      <c r="B116" s="29" t="s">
        <v>142</v>
      </c>
      <c r="C116" s="44" t="s">
        <v>233</v>
      </c>
      <c r="D116" s="45" t="e">
        <f>D114/D202*D204</f>
        <v>#DIV/0!</v>
      </c>
      <c r="E116" s="45" t="e">
        <f>E114/E202*E204</f>
        <v>#DIV/0!</v>
      </c>
      <c r="F116" s="45" t="e">
        <f>F114/F202*F204</f>
        <v>#DIV/0!</v>
      </c>
      <c r="G116" s="45" t="e">
        <f>G114/G202*G204</f>
        <v>#DIV/0!</v>
      </c>
      <c r="H116" s="34" t="s">
        <v>144</v>
      </c>
    </row>
    <row r="117" s="1" customFormat="1" ht="25.5" customHeight="1">
      <c r="A117" s="43"/>
      <c r="B117" s="29" t="s">
        <v>145</v>
      </c>
      <c r="C117" s="44">
        <v>103012</v>
      </c>
      <c r="D117" s="45" t="e">
        <f>D114/D202*D205</f>
        <v>#DIV/0!</v>
      </c>
      <c r="E117" s="45" t="e">
        <f>E114/E202*E205</f>
        <v>#DIV/0!</v>
      </c>
      <c r="F117" s="45" t="e">
        <f>F114/F202*F205</f>
        <v>#DIV/0!</v>
      </c>
      <c r="G117" s="45" t="e">
        <f>G114/G202*G205</f>
        <v>#DIV/0!</v>
      </c>
      <c r="H117" s="32" t="s">
        <v>147</v>
      </c>
    </row>
    <row r="118" s="1" customFormat="1">
      <c r="A118" s="39" t="s">
        <v>234</v>
      </c>
      <c r="B118" s="29" t="s">
        <v>235</v>
      </c>
      <c r="C118" s="44" t="s">
        <v>236</v>
      </c>
      <c r="D118" s="31"/>
      <c r="E118" s="31"/>
      <c r="F118" s="31"/>
      <c r="G118" s="31"/>
      <c r="H118" s="34"/>
    </row>
    <row r="119" s="1" customFormat="1" ht="51" customHeight="1">
      <c r="A119" s="43"/>
      <c r="B119" s="29" t="s">
        <v>139</v>
      </c>
      <c r="C119" s="44" t="s">
        <v>237</v>
      </c>
      <c r="D119" s="45" t="e">
        <f>D118/D202*D203</f>
        <v>#DIV/0!</v>
      </c>
      <c r="E119" s="45" t="e">
        <f>E118/E202*E203</f>
        <v>#DIV/0!</v>
      </c>
      <c r="F119" s="45" t="e">
        <f>F118/F202*F203</f>
        <v>#DIV/0!</v>
      </c>
      <c r="G119" s="45" t="e">
        <f>G118/G202*G203</f>
        <v>#DIV/0!</v>
      </c>
      <c r="H119" s="34" t="s">
        <v>141</v>
      </c>
    </row>
    <row r="120" s="1" customFormat="1" ht="38.25" customHeight="1">
      <c r="A120" s="43"/>
      <c r="B120" s="29" t="s">
        <v>142</v>
      </c>
      <c r="C120" s="44" t="s">
        <v>238</v>
      </c>
      <c r="D120" s="45" t="e">
        <f>D118/D202*D204</f>
        <v>#DIV/0!</v>
      </c>
      <c r="E120" s="45" t="e">
        <f>E118/E202*E204</f>
        <v>#DIV/0!</v>
      </c>
      <c r="F120" s="45" t="e">
        <f>F118/F202*F204</f>
        <v>#DIV/0!</v>
      </c>
      <c r="G120" s="45" t="e">
        <f>G118/G202*G204</f>
        <v>#DIV/0!</v>
      </c>
      <c r="H120" s="34" t="s">
        <v>144</v>
      </c>
    </row>
    <row r="121" s="1" customFormat="1" ht="25.5" customHeight="1">
      <c r="A121" s="43"/>
      <c r="B121" s="29" t="s">
        <v>145</v>
      </c>
      <c r="C121" s="44">
        <v>103022</v>
      </c>
      <c r="D121" s="45" t="e">
        <f>D118/D202*D205</f>
        <v>#DIV/0!</v>
      </c>
      <c r="E121" s="45" t="e">
        <f>E118/E202*E205</f>
        <v>#DIV/0!</v>
      </c>
      <c r="F121" s="45" t="e">
        <f>F118/F202*F205</f>
        <v>#DIV/0!</v>
      </c>
      <c r="G121" s="45" t="e">
        <f>G118/G202*G205</f>
        <v>#DIV/0!</v>
      </c>
      <c r="H121" s="32" t="s">
        <v>147</v>
      </c>
    </row>
    <row r="122" s="1" customFormat="1">
      <c r="A122" s="39" t="s">
        <v>239</v>
      </c>
      <c r="B122" s="29" t="s">
        <v>240</v>
      </c>
      <c r="C122" s="44" t="s">
        <v>241</v>
      </c>
      <c r="D122" s="31"/>
      <c r="E122" s="31"/>
      <c r="F122" s="31"/>
      <c r="G122" s="31"/>
      <c r="H122" s="34"/>
    </row>
    <row r="123" s="1" customFormat="1" ht="51" customHeight="1">
      <c r="A123" s="43"/>
      <c r="B123" s="29" t="s">
        <v>139</v>
      </c>
      <c r="C123" s="44" t="s">
        <v>242</v>
      </c>
      <c r="D123" s="45" t="e">
        <f>D122/D202*D203</f>
        <v>#DIV/0!</v>
      </c>
      <c r="E123" s="45" t="e">
        <f>E122/E202*E203</f>
        <v>#DIV/0!</v>
      </c>
      <c r="F123" s="45" t="e">
        <f>F122/F202*F203</f>
        <v>#DIV/0!</v>
      </c>
      <c r="G123" s="45" t="e">
        <f>G122/G202*G203</f>
        <v>#DIV/0!</v>
      </c>
      <c r="H123" s="34" t="s">
        <v>141</v>
      </c>
    </row>
    <row r="124" s="1" customFormat="1" ht="38.25" customHeight="1">
      <c r="A124" s="43"/>
      <c r="B124" s="29" t="s">
        <v>142</v>
      </c>
      <c r="C124" s="44" t="s">
        <v>243</v>
      </c>
      <c r="D124" s="45" t="e">
        <f>D122/D202*D204</f>
        <v>#DIV/0!</v>
      </c>
      <c r="E124" s="45" t="e">
        <f>E122/E202*E204</f>
        <v>#DIV/0!</v>
      </c>
      <c r="F124" s="45" t="e">
        <f>F122/F202*F204</f>
        <v>#DIV/0!</v>
      </c>
      <c r="G124" s="45" t="e">
        <f>G122/G202*G204</f>
        <v>#DIV/0!</v>
      </c>
      <c r="H124" s="34" t="s">
        <v>144</v>
      </c>
    </row>
    <row r="125" s="1" customFormat="1" ht="25.5" customHeight="1">
      <c r="A125" s="43"/>
      <c r="B125" s="29" t="s">
        <v>145</v>
      </c>
      <c r="C125" s="44">
        <v>103032</v>
      </c>
      <c r="D125" s="45" t="e">
        <f>D122/D202*D205</f>
        <v>#DIV/0!</v>
      </c>
      <c r="E125" s="45" t="e">
        <f>E122/E202*E205</f>
        <v>#DIV/0!</v>
      </c>
      <c r="F125" s="45" t="e">
        <f>F122/F202*F205</f>
        <v>#DIV/0!</v>
      </c>
      <c r="G125" s="45" t="e">
        <f>G122/G202*G205</f>
        <v>#DIV/0!</v>
      </c>
      <c r="H125" s="32" t="s">
        <v>147</v>
      </c>
    </row>
    <row r="126" s="1" customFormat="1">
      <c r="A126" s="39" t="s">
        <v>244</v>
      </c>
      <c r="B126" s="40" t="s">
        <v>245</v>
      </c>
      <c r="C126" s="41" t="s">
        <v>246</v>
      </c>
      <c r="D126" s="52"/>
      <c r="E126" s="52"/>
      <c r="F126" s="52"/>
      <c r="G126" s="52"/>
      <c r="H126" s="34"/>
    </row>
    <row r="127" s="1" customFormat="1" ht="51" customHeight="1">
      <c r="A127" s="43"/>
      <c r="B127" s="29" t="s">
        <v>139</v>
      </c>
      <c r="C127" s="44" t="s">
        <v>247</v>
      </c>
      <c r="D127" s="45" t="e">
        <f>D126/D202*D203</f>
        <v>#DIV/0!</v>
      </c>
      <c r="E127" s="45" t="e">
        <f>E126/E202*E203</f>
        <v>#DIV/0!</v>
      </c>
      <c r="F127" s="45" t="e">
        <f>F126/F202*F203</f>
        <v>#DIV/0!</v>
      </c>
      <c r="G127" s="45" t="e">
        <f>G126/G202*G203</f>
        <v>#DIV/0!</v>
      </c>
      <c r="H127" s="34" t="s">
        <v>141</v>
      </c>
    </row>
    <row r="128" s="1" customFormat="1" ht="38.25" customHeight="1">
      <c r="A128" s="43"/>
      <c r="B128" s="29" t="s">
        <v>142</v>
      </c>
      <c r="C128" s="44" t="s">
        <v>248</v>
      </c>
      <c r="D128" s="45" t="e">
        <f>D126/D202*D204</f>
        <v>#DIV/0!</v>
      </c>
      <c r="E128" s="45" t="e">
        <f>E126/E202*E204</f>
        <v>#DIV/0!</v>
      </c>
      <c r="F128" s="45" t="e">
        <f>F126/F202*F204</f>
        <v>#DIV/0!</v>
      </c>
      <c r="G128" s="45" t="e">
        <f>G126/G202*G204</f>
        <v>#DIV/0!</v>
      </c>
      <c r="H128" s="34" t="s">
        <v>144</v>
      </c>
    </row>
    <row r="129" s="1" customFormat="1" ht="25.5" customHeight="1">
      <c r="A129" s="43"/>
      <c r="B129" s="29" t="s">
        <v>145</v>
      </c>
      <c r="C129" s="44" t="s">
        <v>249</v>
      </c>
      <c r="D129" s="45" t="e">
        <f>D126/D202*D205</f>
        <v>#DIV/0!</v>
      </c>
      <c r="E129" s="45" t="e">
        <f>E126/E202*E205</f>
        <v>#DIV/0!</v>
      </c>
      <c r="F129" s="45" t="e">
        <f>F126/F202*F205</f>
        <v>#DIV/0!</v>
      </c>
      <c r="G129" s="45" t="e">
        <f>G126/G202*G205</f>
        <v>#DIV/0!</v>
      </c>
      <c r="H129" s="32" t="s">
        <v>147</v>
      </c>
    </row>
    <row r="130" s="1" customFormat="1">
      <c r="A130" s="39" t="s">
        <v>250</v>
      </c>
      <c r="B130" s="40" t="s">
        <v>251</v>
      </c>
      <c r="C130" s="41" t="s">
        <v>252</v>
      </c>
      <c r="D130" s="52"/>
      <c r="E130" s="52"/>
      <c r="F130" s="52"/>
      <c r="G130" s="52"/>
      <c r="H130" s="34"/>
    </row>
    <row r="131" s="1" customFormat="1" ht="51" customHeight="1">
      <c r="A131" s="43"/>
      <c r="B131" s="29" t="s">
        <v>139</v>
      </c>
      <c r="C131" s="44" t="s">
        <v>253</v>
      </c>
      <c r="D131" s="45" t="e">
        <f>D130/D202*D203</f>
        <v>#DIV/0!</v>
      </c>
      <c r="E131" s="45" t="e">
        <f>E130/E202*E203</f>
        <v>#DIV/0!</v>
      </c>
      <c r="F131" s="45" t="e">
        <f>F130/F202*F203</f>
        <v>#DIV/0!</v>
      </c>
      <c r="G131" s="45" t="e">
        <f>G130/G202*G203</f>
        <v>#DIV/0!</v>
      </c>
      <c r="H131" s="34" t="s">
        <v>141</v>
      </c>
    </row>
    <row r="132" s="1" customFormat="1" ht="38.25" customHeight="1">
      <c r="A132" s="43"/>
      <c r="B132" s="29" t="s">
        <v>142</v>
      </c>
      <c r="C132" s="44" t="s">
        <v>254</v>
      </c>
      <c r="D132" s="45" t="e">
        <f>D130/D202*D204</f>
        <v>#DIV/0!</v>
      </c>
      <c r="E132" s="45" t="e">
        <f>E130/E202*E204</f>
        <v>#DIV/0!</v>
      </c>
      <c r="F132" s="45" t="e">
        <f>F130/F202*F204</f>
        <v>#DIV/0!</v>
      </c>
      <c r="G132" s="45" t="e">
        <f>G130/G202*G204</f>
        <v>#DIV/0!</v>
      </c>
      <c r="H132" s="34" t="s">
        <v>144</v>
      </c>
    </row>
    <row r="133" s="1" customFormat="1" ht="25.5" customHeight="1">
      <c r="A133" s="43"/>
      <c r="B133" s="29" t="s">
        <v>145</v>
      </c>
      <c r="C133" s="44" t="s">
        <v>255</v>
      </c>
      <c r="D133" s="45" t="e">
        <f>D130/D202*D205</f>
        <v>#DIV/0!</v>
      </c>
      <c r="E133" s="45" t="e">
        <f>E130/E202*E205</f>
        <v>#DIV/0!</v>
      </c>
      <c r="F133" s="45" t="e">
        <f>F130/F202*F205</f>
        <v>#DIV/0!</v>
      </c>
      <c r="G133" s="45" t="e">
        <f>G130/G202*G205</f>
        <v>#DIV/0!</v>
      </c>
      <c r="H133" s="32" t="s">
        <v>147</v>
      </c>
    </row>
    <row r="134" s="1" customFormat="1" ht="51" customHeight="1">
      <c r="A134" s="39" t="s">
        <v>256</v>
      </c>
      <c r="B134" s="40" t="s">
        <v>257</v>
      </c>
      <c r="C134" s="41" t="s">
        <v>258</v>
      </c>
      <c r="D134" s="52"/>
      <c r="E134" s="52"/>
      <c r="F134" s="52"/>
      <c r="G134" s="52"/>
      <c r="H134" s="34" t="s">
        <v>141</v>
      </c>
    </row>
    <row r="135" s="1" customFormat="1">
      <c r="A135" s="39" t="s">
        <v>259</v>
      </c>
      <c r="B135" s="40" t="s">
        <v>260</v>
      </c>
      <c r="C135" s="41" t="s">
        <v>261</v>
      </c>
      <c r="D135" s="52"/>
      <c r="E135" s="52"/>
      <c r="F135" s="52"/>
      <c r="G135" s="52"/>
      <c r="H135" s="34"/>
    </row>
    <row r="136" s="1" customFormat="1" ht="51" customHeight="1">
      <c r="A136" s="43"/>
      <c r="B136" s="29" t="s">
        <v>139</v>
      </c>
      <c r="C136" s="44" t="s">
        <v>262</v>
      </c>
      <c r="D136" s="45" t="e">
        <f>D135/D202*D203</f>
        <v>#DIV/0!</v>
      </c>
      <c r="E136" s="45" t="e">
        <f>E135/E202*E203</f>
        <v>#DIV/0!</v>
      </c>
      <c r="F136" s="45" t="e">
        <f>F135/F202*F203</f>
        <v>#DIV/0!</v>
      </c>
      <c r="G136" s="45" t="e">
        <f>G135/G202*G203</f>
        <v>#DIV/0!</v>
      </c>
      <c r="H136" s="34" t="s">
        <v>141</v>
      </c>
    </row>
    <row r="137" s="1" customFormat="1" ht="38.25" customHeight="1">
      <c r="A137" s="43"/>
      <c r="B137" s="29" t="s">
        <v>142</v>
      </c>
      <c r="C137" s="44" t="s">
        <v>263</v>
      </c>
      <c r="D137" s="45" t="e">
        <f>D135/D202*D204</f>
        <v>#DIV/0!</v>
      </c>
      <c r="E137" s="45" t="e">
        <f>E135/E202*E204</f>
        <v>#DIV/0!</v>
      </c>
      <c r="F137" s="45" t="e">
        <f>F135/F202*F204</f>
        <v>#DIV/0!</v>
      </c>
      <c r="G137" s="45" t="e">
        <f>G135/G202*G204</f>
        <v>#DIV/0!</v>
      </c>
      <c r="H137" s="34" t="s">
        <v>144</v>
      </c>
    </row>
    <row r="138" s="1" customFormat="1" ht="25.5" customHeight="1">
      <c r="A138" s="43"/>
      <c r="B138" s="29" t="s">
        <v>145</v>
      </c>
      <c r="C138" s="44" t="s">
        <v>264</v>
      </c>
      <c r="D138" s="45" t="e">
        <f>D135/D202*D205</f>
        <v>#DIV/0!</v>
      </c>
      <c r="E138" s="45" t="e">
        <f>E135/E202*E205</f>
        <v>#DIV/0!</v>
      </c>
      <c r="F138" s="45" t="e">
        <f>F135/F202*F205</f>
        <v>#DIV/0!</v>
      </c>
      <c r="G138" s="45" t="e">
        <f>G135/G202*G205</f>
        <v>#DIV/0!</v>
      </c>
      <c r="H138" s="32" t="s">
        <v>147</v>
      </c>
    </row>
    <row r="139" s="1" customFormat="1" ht="51" customHeight="1">
      <c r="A139" s="39" t="s">
        <v>265</v>
      </c>
      <c r="B139" s="40" t="s">
        <v>266</v>
      </c>
      <c r="C139" s="41" t="s">
        <v>267</v>
      </c>
      <c r="D139" s="52"/>
      <c r="E139" s="52"/>
      <c r="F139" s="52"/>
      <c r="G139" s="52"/>
      <c r="H139" s="34" t="s">
        <v>268</v>
      </c>
    </row>
    <row r="140" s="1" customFormat="1">
      <c r="A140" s="39" t="s">
        <v>269</v>
      </c>
      <c r="B140" s="40" t="s">
        <v>270</v>
      </c>
      <c r="C140" s="41" t="s">
        <v>271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34"/>
    </row>
    <row r="141" s="1" customFormat="1" ht="51" customHeight="1">
      <c r="A141" s="43"/>
      <c r="B141" s="29" t="s">
        <v>139</v>
      </c>
      <c r="C141" s="44" t="s">
        <v>272</v>
      </c>
      <c r="D141" s="31"/>
      <c r="E141" s="31"/>
      <c r="F141" s="31"/>
      <c r="G141" s="31"/>
      <c r="H141" s="34" t="s">
        <v>141</v>
      </c>
    </row>
    <row r="142" s="1" customFormat="1" ht="38.25" customHeight="1">
      <c r="A142" s="43"/>
      <c r="B142" s="29" t="s">
        <v>142</v>
      </c>
      <c r="C142" s="44" t="s">
        <v>273</v>
      </c>
      <c r="D142" s="31"/>
      <c r="E142" s="31"/>
      <c r="F142" s="31"/>
      <c r="G142" s="31"/>
      <c r="H142" s="34" t="s">
        <v>144</v>
      </c>
    </row>
    <row r="143" s="1" customFormat="1" ht="25.5" customHeight="1">
      <c r="A143" s="43"/>
      <c r="B143" s="29" t="s">
        <v>145</v>
      </c>
      <c r="C143" s="44" t="s">
        <v>274</v>
      </c>
      <c r="D143" s="31"/>
      <c r="E143" s="31"/>
      <c r="F143" s="31"/>
      <c r="G143" s="31"/>
      <c r="H143" s="32" t="s">
        <v>147</v>
      </c>
    </row>
    <row r="144" s="1" customFormat="1">
      <c r="A144" s="39" t="s">
        <v>275</v>
      </c>
      <c r="B144" s="40" t="s">
        <v>276</v>
      </c>
      <c r="C144" s="41" t="s">
        <v>277</v>
      </c>
      <c r="D144" s="52"/>
      <c r="E144" s="52"/>
      <c r="F144" s="52"/>
      <c r="G144" s="52"/>
      <c r="H144" s="34"/>
    </row>
    <row r="145" s="1" customFormat="1" ht="51" customHeight="1">
      <c r="A145" s="43"/>
      <c r="B145" s="29" t="s">
        <v>139</v>
      </c>
      <c r="C145" s="44" t="s">
        <v>278</v>
      </c>
      <c r="D145" s="45" t="e">
        <f>D144/D202*D203</f>
        <v>#DIV/0!</v>
      </c>
      <c r="E145" s="45" t="e">
        <f>E144/E202*E203</f>
        <v>#DIV/0!</v>
      </c>
      <c r="F145" s="45" t="e">
        <f>F144/F202*F203</f>
        <v>#DIV/0!</v>
      </c>
      <c r="G145" s="45" t="e">
        <f>G144/G202*G203</f>
        <v>#DIV/0!</v>
      </c>
      <c r="H145" s="34" t="s">
        <v>141</v>
      </c>
    </row>
    <row r="146" s="1" customFormat="1" ht="38.25" customHeight="1">
      <c r="A146" s="43"/>
      <c r="B146" s="29" t="s">
        <v>142</v>
      </c>
      <c r="C146" s="44" t="s">
        <v>279</v>
      </c>
      <c r="D146" s="45" t="e">
        <f>D144/D202*D204</f>
        <v>#DIV/0!</v>
      </c>
      <c r="E146" s="45" t="e">
        <f>E144/E202*E204</f>
        <v>#DIV/0!</v>
      </c>
      <c r="F146" s="45" t="e">
        <f>F144/F202*F204</f>
        <v>#DIV/0!</v>
      </c>
      <c r="G146" s="45" t="e">
        <f>G144/G202*G204</f>
        <v>#DIV/0!</v>
      </c>
      <c r="H146" s="34" t="s">
        <v>144</v>
      </c>
    </row>
    <row r="147" s="1" customFormat="1" ht="25.5" customHeight="1">
      <c r="A147" s="43"/>
      <c r="B147" s="29" t="s">
        <v>145</v>
      </c>
      <c r="C147" s="44" t="s">
        <v>280</v>
      </c>
      <c r="D147" s="45" t="e">
        <f>D144/D202*D205</f>
        <v>#DIV/0!</v>
      </c>
      <c r="E147" s="45" t="e">
        <f>E144/E202*E205</f>
        <v>#DIV/0!</v>
      </c>
      <c r="F147" s="45" t="e">
        <f>F144/F202*F205</f>
        <v>#DIV/0!</v>
      </c>
      <c r="G147" s="45" t="e">
        <f>G144/G202*G205</f>
        <v>#DIV/0!</v>
      </c>
      <c r="H147" s="32" t="s">
        <v>147</v>
      </c>
    </row>
    <row r="148" s="1" customFormat="1">
      <c r="A148" s="39" t="s">
        <v>281</v>
      </c>
      <c r="B148" s="40" t="s">
        <v>282</v>
      </c>
      <c r="C148" s="41" t="s">
        <v>283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34"/>
    </row>
    <row r="149" s="1" customFormat="1" ht="25.5" customHeight="1">
      <c r="A149" s="39" t="s">
        <v>284</v>
      </c>
      <c r="B149" s="29" t="s">
        <v>285</v>
      </c>
      <c r="C149" s="44" t="s">
        <v>286</v>
      </c>
      <c r="D149" s="31"/>
      <c r="E149" s="31"/>
      <c r="F149" s="31"/>
      <c r="G149" s="31"/>
      <c r="H149" s="34"/>
    </row>
    <row r="150" s="1" customFormat="1" ht="51" customHeight="1">
      <c r="A150" s="43"/>
      <c r="B150" s="29" t="s">
        <v>139</v>
      </c>
      <c r="C150" s="44" t="s">
        <v>287</v>
      </c>
      <c r="D150" s="45" t="e">
        <f>D149/D202*D203</f>
        <v>#DIV/0!</v>
      </c>
      <c r="E150" s="45" t="e">
        <f>E149/E202*E203</f>
        <v>#DIV/0!</v>
      </c>
      <c r="F150" s="45" t="e">
        <f>F149/F202*F203</f>
        <v>#DIV/0!</v>
      </c>
      <c r="G150" s="45" t="e">
        <f>G149/G202*G203</f>
        <v>#DIV/0!</v>
      </c>
      <c r="H150" s="34" t="s">
        <v>141</v>
      </c>
    </row>
    <row r="151" s="1" customFormat="1" ht="38.25" customHeight="1">
      <c r="A151" s="43"/>
      <c r="B151" s="29" t="s">
        <v>142</v>
      </c>
      <c r="C151" s="44" t="s">
        <v>288</v>
      </c>
      <c r="D151" s="45" t="e">
        <f>D149/D202*D204</f>
        <v>#DIV/0!</v>
      </c>
      <c r="E151" s="45" t="e">
        <f>E149/E202*E204</f>
        <v>#DIV/0!</v>
      </c>
      <c r="F151" s="45" t="e">
        <f>F149/F202*F204</f>
        <v>#DIV/0!</v>
      </c>
      <c r="G151" s="45" t="e">
        <f>G149/G202*G204</f>
        <v>#DIV/0!</v>
      </c>
      <c r="H151" s="34" t="s">
        <v>144</v>
      </c>
    </row>
    <row r="152" s="1" customFormat="1" ht="25.5" customHeight="1">
      <c r="A152" s="43"/>
      <c r="B152" s="29" t="s">
        <v>145</v>
      </c>
      <c r="C152" s="44">
        <v>1098012</v>
      </c>
      <c r="D152" s="45" t="e">
        <f>D149/D202*D205</f>
        <v>#DIV/0!</v>
      </c>
      <c r="E152" s="45" t="e">
        <f>E149/E202*E205</f>
        <v>#DIV/0!</v>
      </c>
      <c r="F152" s="45" t="e">
        <f>F149/F202*F205</f>
        <v>#DIV/0!</v>
      </c>
      <c r="G152" s="45" t="e">
        <f>G149/G202*G205</f>
        <v>#DIV/0!</v>
      </c>
      <c r="H152" s="32" t="s">
        <v>147</v>
      </c>
    </row>
    <row r="153" s="1" customFormat="1" ht="25.5" customHeight="1">
      <c r="A153" s="39" t="s">
        <v>289</v>
      </c>
      <c r="B153" s="29" t="s">
        <v>282</v>
      </c>
      <c r="C153" s="44" t="s">
        <v>290</v>
      </c>
      <c r="D153" s="31"/>
      <c r="E153" s="31"/>
      <c r="F153" s="31"/>
      <c r="G153" s="31"/>
      <c r="H153" s="34"/>
    </row>
    <row r="154" s="1" customFormat="1" ht="51" customHeight="1">
      <c r="A154" s="43"/>
      <c r="B154" s="29" t="s">
        <v>139</v>
      </c>
      <c r="C154" s="44" t="s">
        <v>291</v>
      </c>
      <c r="D154" s="45" t="e">
        <f>D153/D202*D203</f>
        <v>#DIV/0!</v>
      </c>
      <c r="E154" s="45" t="e">
        <f>E153/E202*E203</f>
        <v>#DIV/0!</v>
      </c>
      <c r="F154" s="45" t="e">
        <f>F153/F202*F203</f>
        <v>#DIV/0!</v>
      </c>
      <c r="G154" s="45" t="e">
        <f>G153/G202*G203</f>
        <v>#DIV/0!</v>
      </c>
      <c r="H154" s="34" t="s">
        <v>141</v>
      </c>
    </row>
    <row r="155" s="1" customFormat="1" ht="38.25" customHeight="1">
      <c r="A155" s="43"/>
      <c r="B155" s="29" t="s">
        <v>142</v>
      </c>
      <c r="C155" s="44" t="s">
        <v>292</v>
      </c>
      <c r="D155" s="45" t="e">
        <f>D153/D202*D204</f>
        <v>#DIV/0!</v>
      </c>
      <c r="E155" s="45" t="e">
        <f>E153/E202*E204</f>
        <v>#DIV/0!</v>
      </c>
      <c r="F155" s="45" t="e">
        <f>F153/F202*F204</f>
        <v>#DIV/0!</v>
      </c>
      <c r="G155" s="45" t="e">
        <f>G153/G202*G204</f>
        <v>#DIV/0!</v>
      </c>
      <c r="H155" s="34" t="s">
        <v>144</v>
      </c>
    </row>
    <row r="156" s="1" customFormat="1" ht="25.5" customHeight="1">
      <c r="A156" s="43"/>
      <c r="B156" s="29" t="s">
        <v>145</v>
      </c>
      <c r="C156" s="44">
        <v>1098022</v>
      </c>
      <c r="D156" s="45" t="e">
        <f>D153/D202*D205</f>
        <v>#DIV/0!</v>
      </c>
      <c r="E156" s="45" t="e">
        <f>E153/E202*E205</f>
        <v>#DIV/0!</v>
      </c>
      <c r="F156" s="45" t="e">
        <f>F153/F202*F205</f>
        <v>#DIV/0!</v>
      </c>
      <c r="G156" s="45" t="e">
        <f>G153/G202*G205</f>
        <v>#DIV/0!</v>
      </c>
      <c r="H156" s="32" t="s">
        <v>147</v>
      </c>
    </row>
    <row r="157" s="1" customFormat="1">
      <c r="A157" s="23" t="s">
        <v>293</v>
      </c>
      <c r="B157" s="24" t="s">
        <v>294</v>
      </c>
      <c r="C157" s="25" t="s">
        <v>295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296</v>
      </c>
      <c r="C158" s="44" t="s">
        <v>297</v>
      </c>
      <c r="D158" s="31"/>
      <c r="E158" s="31"/>
      <c r="F158" s="31"/>
      <c r="G158" s="31"/>
      <c r="H158" s="34"/>
    </row>
    <row r="159" s="1" customFormat="1" ht="51.75" customHeight="1">
      <c r="A159" s="39"/>
      <c r="B159" s="29" t="s">
        <v>139</v>
      </c>
      <c r="C159" s="44" t="s">
        <v>298</v>
      </c>
      <c r="D159" s="45" t="e">
        <f>D158/D202*D203</f>
        <v>#DIV/0!</v>
      </c>
      <c r="E159" s="45" t="e">
        <f>E158/E202*E203</f>
        <v>#DIV/0!</v>
      </c>
      <c r="F159" s="45" t="e">
        <f>F158/F202*F203</f>
        <v>#DIV/0!</v>
      </c>
      <c r="G159" s="45" t="e">
        <f>G158/G202*G203</f>
        <v>#DIV/0!</v>
      </c>
      <c r="H159" s="34" t="s">
        <v>141</v>
      </c>
    </row>
    <row r="160" s="1" customFormat="1" ht="45.75" customHeight="1">
      <c r="A160" s="39"/>
      <c r="B160" s="29" t="s">
        <v>142</v>
      </c>
      <c r="C160" s="44" t="s">
        <v>299</v>
      </c>
      <c r="D160" s="45" t="e">
        <f>D158/D202*D204</f>
        <v>#DIV/0!</v>
      </c>
      <c r="E160" s="45" t="e">
        <f>E158/E202*E204</f>
        <v>#DIV/0!</v>
      </c>
      <c r="F160" s="45" t="e">
        <f>F158/F202*F204</f>
        <v>#DIV/0!</v>
      </c>
      <c r="G160" s="45" t="e">
        <f>G158/G202*G204</f>
        <v>#DIV/0!</v>
      </c>
      <c r="H160" s="34" t="s">
        <v>144</v>
      </c>
    </row>
    <row r="161" s="1" customFormat="1" ht="25.5" customHeight="1">
      <c r="A161" s="39"/>
      <c r="B161" s="29" t="s">
        <v>145</v>
      </c>
      <c r="C161" s="44" t="s">
        <v>300</v>
      </c>
      <c r="D161" s="45" t="e">
        <f>D158/D202*D205</f>
        <v>#DIV/0!</v>
      </c>
      <c r="E161" s="45" t="e">
        <f>E158/E202*E205</f>
        <v>#DIV/0!</v>
      </c>
      <c r="F161" s="45" t="e">
        <f>F158/F202*F205</f>
        <v>#DIV/0!</v>
      </c>
      <c r="G161" s="45" t="e">
        <f>G158/G202*G205</f>
        <v>#DIV/0!</v>
      </c>
      <c r="H161" s="32" t="s">
        <v>147</v>
      </c>
    </row>
    <row r="162" s="1" customFormat="1">
      <c r="A162" s="39" t="s">
        <v>41</v>
      </c>
      <c r="B162" s="29" t="s">
        <v>301</v>
      </c>
      <c r="C162" s="44" t="s">
        <v>302</v>
      </c>
      <c r="D162" s="31"/>
      <c r="E162" s="31"/>
      <c r="F162" s="31"/>
      <c r="G162" s="31"/>
      <c r="H162" s="34"/>
    </row>
    <row r="163" s="1" customFormat="1" ht="51" customHeight="1">
      <c r="A163" s="39"/>
      <c r="B163" s="29" t="s">
        <v>139</v>
      </c>
      <c r="C163" s="44" t="s">
        <v>303</v>
      </c>
      <c r="D163" s="45" t="e">
        <f>D162/D202*D203</f>
        <v>#DIV/0!</v>
      </c>
      <c r="E163" s="45" t="e">
        <f>E162/E202*E203</f>
        <v>#DIV/0!</v>
      </c>
      <c r="F163" s="45" t="e">
        <f>F162/F202*F203</f>
        <v>#DIV/0!</v>
      </c>
      <c r="G163" s="45" t="e">
        <f>G162/G202*G203</f>
        <v>#DIV/0!</v>
      </c>
      <c r="H163" s="34" t="s">
        <v>141</v>
      </c>
    </row>
    <row r="164" s="1" customFormat="1" ht="38.25" customHeight="1">
      <c r="A164" s="43"/>
      <c r="B164" s="29" t="s">
        <v>142</v>
      </c>
      <c r="C164" s="44" t="s">
        <v>304</v>
      </c>
      <c r="D164" s="45" t="e">
        <f>D162/D202*D204</f>
        <v>#DIV/0!</v>
      </c>
      <c r="E164" s="45" t="e">
        <f>E162/E202*E204</f>
        <v>#DIV/0!</v>
      </c>
      <c r="F164" s="45" t="e">
        <f>F162/F202*F204</f>
        <v>#DIV/0!</v>
      </c>
      <c r="G164" s="45" t="e">
        <f>G162/G202*G204</f>
        <v>#DIV/0!</v>
      </c>
      <c r="H164" s="34" t="s">
        <v>144</v>
      </c>
    </row>
    <row r="165" s="1" customFormat="1" ht="25.5" customHeight="1">
      <c r="A165" s="43"/>
      <c r="B165" s="29" t="s">
        <v>145</v>
      </c>
      <c r="C165" s="44" t="s">
        <v>305</v>
      </c>
      <c r="D165" s="45" t="e">
        <f>D162/D202*D205</f>
        <v>#DIV/0!</v>
      </c>
      <c r="E165" s="45" t="e">
        <f>E162/E202*E205</f>
        <v>#DIV/0!</v>
      </c>
      <c r="F165" s="45" t="e">
        <f>F162/F202*F205</f>
        <v>#DIV/0!</v>
      </c>
      <c r="G165" s="45" t="e">
        <f>G162/G202*G205</f>
        <v>#DIV/0!</v>
      </c>
      <c r="H165" s="32" t="s">
        <v>147</v>
      </c>
    </row>
    <row r="166" s="1" customFormat="1">
      <c r="A166" s="23" t="s">
        <v>306</v>
      </c>
      <c r="B166" s="24" t="s">
        <v>307</v>
      </c>
      <c r="C166" s="25" t="s">
        <v>308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51" customHeight="1">
      <c r="A167" s="43"/>
      <c r="B167" s="29" t="s">
        <v>139</v>
      </c>
      <c r="C167" s="44" t="s">
        <v>309</v>
      </c>
      <c r="D167" s="31"/>
      <c r="E167" s="31"/>
      <c r="F167" s="31"/>
      <c r="G167" s="31"/>
      <c r="H167" s="34" t="s">
        <v>310</v>
      </c>
    </row>
    <row r="168" s="1" customFormat="1">
      <c r="A168" s="65"/>
      <c r="B168" s="24" t="s">
        <v>311</v>
      </c>
      <c r="C168" s="66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7"/>
    </row>
    <row r="169" s="1" customFormat="1">
      <c r="A169" s="23" t="s">
        <v>312</v>
      </c>
      <c r="B169" s="24" t="s">
        <v>313</v>
      </c>
      <c r="C169" s="25" t="s">
        <v>314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7"/>
    </row>
    <row r="170" s="1" customFormat="1">
      <c r="A170" s="43"/>
      <c r="B170" s="29" t="s">
        <v>315</v>
      </c>
      <c r="C170" s="64"/>
      <c r="D170" s="31"/>
      <c r="E170" s="31"/>
      <c r="F170" s="31"/>
      <c r="G170" s="31"/>
      <c r="H170" s="32" t="s">
        <v>316</v>
      </c>
    </row>
    <row r="171" s="1" customFormat="1" ht="51" customHeight="1">
      <c r="A171" s="43"/>
      <c r="B171" s="29" t="s">
        <v>313</v>
      </c>
      <c r="C171" s="64"/>
      <c r="D171" s="31"/>
      <c r="E171" s="31"/>
      <c r="F171" s="31"/>
      <c r="G171" s="31"/>
      <c r="H171" s="32" t="s">
        <v>317</v>
      </c>
    </row>
    <row r="172" s="1" customFormat="1" ht="25.5" customHeight="1">
      <c r="A172" s="43"/>
      <c r="B172" s="29" t="s">
        <v>318</v>
      </c>
      <c r="C172" s="64"/>
      <c r="D172" s="31"/>
      <c r="E172" s="31"/>
      <c r="F172" s="31"/>
      <c r="G172" s="31"/>
      <c r="H172" s="32" t="s">
        <v>319</v>
      </c>
    </row>
    <row r="173" s="1" customFormat="1">
      <c r="A173" s="23" t="s">
        <v>320</v>
      </c>
      <c r="B173" s="24" t="s">
        <v>321</v>
      </c>
      <c r="C173" s="25" t="s">
        <v>322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68"/>
    </row>
    <row r="174" s="1" customFormat="1" ht="12.75" customHeight="1">
      <c r="A174" s="59" t="s">
        <v>32</v>
      </c>
      <c r="B174" s="69" t="s">
        <v>323</v>
      </c>
      <c r="C174" s="70" t="s">
        <v>324</v>
      </c>
      <c r="D174" s="71"/>
      <c r="E174" s="71"/>
      <c r="F174" s="71"/>
      <c r="G174" s="71"/>
      <c r="H174" s="57" t="s">
        <v>325</v>
      </c>
    </row>
    <row r="175" s="1" customFormat="1">
      <c r="A175" s="39" t="s">
        <v>41</v>
      </c>
      <c r="B175" s="40" t="s">
        <v>326</v>
      </c>
      <c r="C175" s="41" t="s">
        <v>327</v>
      </c>
      <c r="D175" s="52"/>
      <c r="E175" s="52"/>
      <c r="F175" s="52"/>
      <c r="G175" s="52"/>
      <c r="H175" s="32" t="s">
        <v>316</v>
      </c>
    </row>
    <row r="176" s="1" customFormat="1">
      <c r="A176" s="39" t="s">
        <v>59</v>
      </c>
      <c r="B176" s="40" t="s">
        <v>328</v>
      </c>
      <c r="C176" s="41" t="s">
        <v>329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32"/>
    </row>
    <row r="177" s="1" customFormat="1">
      <c r="A177" s="53"/>
      <c r="B177" s="54" t="s">
        <v>330</v>
      </c>
      <c r="C177" s="55">
        <v>52031</v>
      </c>
      <c r="D177" s="56"/>
      <c r="E177" s="56"/>
      <c r="F177" s="56"/>
      <c r="G177" s="56"/>
      <c r="H177" s="57" t="s">
        <v>325</v>
      </c>
    </row>
    <row r="178" s="1" customFormat="1" ht="51" customHeight="1">
      <c r="A178" s="43"/>
      <c r="B178" s="29" t="s">
        <v>331</v>
      </c>
      <c r="C178" s="44">
        <v>52032</v>
      </c>
      <c r="D178" s="31"/>
      <c r="E178" s="31"/>
      <c r="F178" s="31"/>
      <c r="G178" s="31"/>
      <c r="H178" s="32" t="s">
        <v>332</v>
      </c>
    </row>
    <row r="179" s="1" customFormat="1" ht="25.5" customHeight="1">
      <c r="A179" s="43"/>
      <c r="B179" s="29" t="s">
        <v>333</v>
      </c>
      <c r="C179" s="44">
        <v>52033</v>
      </c>
      <c r="D179" s="31"/>
      <c r="E179" s="31"/>
      <c r="F179" s="31"/>
      <c r="G179" s="31"/>
      <c r="H179" s="32" t="s">
        <v>334</v>
      </c>
    </row>
    <row r="180" s="1" customFormat="1">
      <c r="A180" s="39" t="s">
        <v>89</v>
      </c>
      <c r="B180" s="40" t="s">
        <v>335</v>
      </c>
      <c r="C180" s="41" t="s">
        <v>336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32"/>
    </row>
    <row r="181" s="1" customFormat="1" ht="51" customHeight="1">
      <c r="A181" s="43"/>
      <c r="B181" s="29" t="s">
        <v>335</v>
      </c>
      <c r="C181" s="44" t="s">
        <v>337</v>
      </c>
      <c r="D181" s="31"/>
      <c r="E181" s="31"/>
      <c r="F181" s="31"/>
      <c r="G181" s="31"/>
      <c r="H181" s="32" t="s">
        <v>332</v>
      </c>
    </row>
    <row r="182" s="1" customFormat="1" ht="25.5" customHeight="1">
      <c r="A182" s="43"/>
      <c r="B182" s="29" t="s">
        <v>338</v>
      </c>
      <c r="C182" s="44" t="s">
        <v>339</v>
      </c>
      <c r="D182" s="31"/>
      <c r="E182" s="31"/>
      <c r="F182" s="31"/>
      <c r="G182" s="31"/>
      <c r="H182" s="32" t="s">
        <v>334</v>
      </c>
    </row>
    <row r="183" s="1" customFormat="1">
      <c r="A183" s="39" t="s">
        <v>98</v>
      </c>
      <c r="B183" s="40" t="s">
        <v>340</v>
      </c>
      <c r="C183" s="41" t="s">
        <v>341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32"/>
    </row>
    <row r="184" s="1" customFormat="1" ht="51" customHeight="1">
      <c r="A184" s="43"/>
      <c r="B184" s="29" t="s">
        <v>340</v>
      </c>
      <c r="C184" s="44" t="s">
        <v>342</v>
      </c>
      <c r="D184" s="31"/>
      <c r="E184" s="31"/>
      <c r="F184" s="31"/>
      <c r="G184" s="31"/>
      <c r="H184" s="32" t="s">
        <v>332</v>
      </c>
    </row>
    <row r="185" s="1" customFormat="1" ht="25.5" customHeight="1">
      <c r="A185" s="43"/>
      <c r="B185" s="29" t="s">
        <v>343</v>
      </c>
      <c r="C185" s="44" t="s">
        <v>344</v>
      </c>
      <c r="D185" s="31"/>
      <c r="E185" s="31"/>
      <c r="F185" s="31"/>
      <c r="G185" s="31"/>
      <c r="H185" s="32" t="s">
        <v>334</v>
      </c>
    </row>
    <row r="186" s="1" customFormat="1">
      <c r="A186" s="39" t="s">
        <v>175</v>
      </c>
      <c r="B186" s="40" t="s">
        <v>345</v>
      </c>
      <c r="C186" s="41" t="s">
        <v>346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32"/>
    </row>
    <row r="187" s="1" customFormat="1" ht="51" customHeight="1">
      <c r="A187" s="43"/>
      <c r="B187" s="29" t="s">
        <v>345</v>
      </c>
      <c r="C187" s="44" t="s">
        <v>347</v>
      </c>
      <c r="D187" s="31"/>
      <c r="E187" s="31"/>
      <c r="F187" s="31"/>
      <c r="G187" s="31"/>
      <c r="H187" s="32" t="s">
        <v>332</v>
      </c>
    </row>
    <row r="188" s="1" customFormat="1" ht="25.5" customHeight="1">
      <c r="A188" s="43"/>
      <c r="B188" s="29" t="s">
        <v>348</v>
      </c>
      <c r="C188" s="44" t="s">
        <v>349</v>
      </c>
      <c r="D188" s="31"/>
      <c r="E188" s="31"/>
      <c r="F188" s="31"/>
      <c r="G188" s="31"/>
      <c r="H188" s="32" t="s">
        <v>334</v>
      </c>
    </row>
    <row r="189" s="1" customFormat="1">
      <c r="A189" s="39" t="s">
        <v>350</v>
      </c>
      <c r="B189" s="40" t="s">
        <v>351</v>
      </c>
      <c r="C189" s="41" t="s">
        <v>352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32"/>
    </row>
    <row r="190" s="1" customFormat="1" ht="51" customHeight="1">
      <c r="A190" s="72"/>
      <c r="B190" s="35" t="s">
        <v>351</v>
      </c>
      <c r="C190" s="73" t="s">
        <v>353</v>
      </c>
      <c r="D190" s="74"/>
      <c r="E190" s="74"/>
      <c r="F190" s="74"/>
      <c r="G190" s="74"/>
      <c r="H190" s="32" t="s">
        <v>332</v>
      </c>
    </row>
    <row r="191" s="1" customFormat="1" ht="25.5" customHeight="1">
      <c r="A191" s="75"/>
      <c r="B191" s="76" t="s">
        <v>354</v>
      </c>
      <c r="C191" s="77" t="s">
        <v>355</v>
      </c>
      <c r="D191" s="31"/>
      <c r="E191" s="31"/>
      <c r="F191" s="31"/>
      <c r="G191" s="31"/>
      <c r="H191" s="32" t="s">
        <v>334</v>
      </c>
    </row>
    <row r="192" s="1" customFormat="1">
      <c r="A192" s="23" t="s">
        <v>356</v>
      </c>
      <c r="B192" s="24" t="s">
        <v>357</v>
      </c>
      <c r="C192" s="25" t="s">
        <v>358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68"/>
    </row>
    <row r="193" s="1" customFormat="1">
      <c r="A193" s="78" t="s">
        <v>359</v>
      </c>
      <c r="B193" s="79" t="s">
        <v>360</v>
      </c>
      <c r="C193" s="80" t="s">
        <v>361</v>
      </c>
      <c r="D193" s="81"/>
      <c r="E193" s="81"/>
      <c r="F193" s="81"/>
      <c r="G193" s="81"/>
      <c r="H193" s="57" t="s">
        <v>325</v>
      </c>
    </row>
    <row r="194" s="1" customFormat="1">
      <c r="A194" s="78" t="s">
        <v>362</v>
      </c>
      <c r="B194" s="79" t="s">
        <v>363</v>
      </c>
      <c r="C194" s="80" t="s">
        <v>364</v>
      </c>
      <c r="D194" s="81"/>
      <c r="E194" s="81"/>
      <c r="F194" s="81"/>
      <c r="G194" s="81"/>
      <c r="H194" s="57" t="s">
        <v>325</v>
      </c>
    </row>
    <row r="195" s="1" customFormat="1">
      <c r="A195" s="82" t="s">
        <v>365</v>
      </c>
      <c r="B195" s="83" t="s">
        <v>366</v>
      </c>
      <c r="C195" s="84" t="s">
        <v>367</v>
      </c>
      <c r="D195" s="85"/>
      <c r="E195" s="85"/>
      <c r="F195" s="85"/>
      <c r="G195" s="85"/>
      <c r="H195" s="32" t="s">
        <v>316</v>
      </c>
    </row>
    <row r="196" s="1" customFormat="1" ht="9" customHeight="1">
      <c r="A196" s="86"/>
      <c r="B196" s="87"/>
      <c r="C196" s="88"/>
      <c r="D196" s="89"/>
      <c r="E196" s="89"/>
      <c r="F196" s="89"/>
      <c r="G196" s="89"/>
      <c r="H196" s="90"/>
    </row>
    <row r="197" s="1" customFormat="1">
      <c r="A197" s="91"/>
      <c r="B197" s="92" t="s">
        <v>368</v>
      </c>
      <c r="C197" s="93"/>
      <c r="D197" s="94"/>
      <c r="E197" s="94"/>
      <c r="F197" s="94"/>
      <c r="G197" s="94"/>
      <c r="H197" s="95"/>
    </row>
    <row r="198" s="1" customFormat="1">
      <c r="A198" s="43"/>
      <c r="B198" s="29" t="s">
        <v>369</v>
      </c>
      <c r="C198" s="64" t="s">
        <v>370</v>
      </c>
      <c r="D198" s="45">
        <f>D199+D200+D201</f>
        <v>0</v>
      </c>
      <c r="E198" s="45">
        <f>E199+E200+E201</f>
        <v>0</v>
      </c>
      <c r="F198" s="45">
        <f>F199+F200+F201</f>
        <v>0</v>
      </c>
      <c r="G198" s="45">
        <f>G199+G200+G201</f>
        <v>0</v>
      </c>
      <c r="H198" s="32" t="s">
        <v>371</v>
      </c>
    </row>
    <row r="199" s="1" customFormat="1">
      <c r="A199" s="43"/>
      <c r="B199" s="29" t="s">
        <v>372</v>
      </c>
      <c r="C199" s="64" t="s">
        <v>370</v>
      </c>
      <c r="D199" s="31"/>
      <c r="E199" s="31"/>
      <c r="F199" s="31"/>
      <c r="G199" s="31"/>
      <c r="H199" s="32" t="s">
        <v>373</v>
      </c>
    </row>
    <row r="200" s="1" customFormat="1">
      <c r="A200" s="43"/>
      <c r="B200" s="29" t="s">
        <v>374</v>
      </c>
      <c r="C200" s="64" t="s">
        <v>370</v>
      </c>
      <c r="D200" s="31"/>
      <c r="E200" s="31"/>
      <c r="F200" s="31"/>
      <c r="G200" s="31"/>
      <c r="H200" s="32" t="s">
        <v>375</v>
      </c>
    </row>
    <row r="201" s="1" customFormat="1">
      <c r="A201" s="43"/>
      <c r="B201" s="29" t="s">
        <v>376</v>
      </c>
      <c r="C201" s="64" t="s">
        <v>370</v>
      </c>
      <c r="D201" s="31"/>
      <c r="E201" s="31"/>
      <c r="F201" s="31"/>
      <c r="G201" s="31"/>
      <c r="H201" s="32" t="s">
        <v>377</v>
      </c>
    </row>
    <row r="202" s="1" customFormat="1">
      <c r="A202" s="43"/>
      <c r="B202" s="29" t="s">
        <v>378</v>
      </c>
      <c r="C202" s="64" t="s">
        <v>370</v>
      </c>
      <c r="D202" s="45">
        <f>D203+D204+D205</f>
        <v>0</v>
      </c>
      <c r="E202" s="45">
        <f>E203+E204+E205</f>
        <v>0</v>
      </c>
      <c r="F202" s="45">
        <f>F203+F204+F205</f>
        <v>0</v>
      </c>
      <c r="G202" s="45">
        <f>G203+G204+G205</f>
        <v>0</v>
      </c>
      <c r="H202" s="32" t="s">
        <v>379</v>
      </c>
    </row>
    <row r="203" s="1" customFormat="1">
      <c r="A203" s="43"/>
      <c r="B203" s="29" t="s">
        <v>372</v>
      </c>
      <c r="C203" s="64" t="s">
        <v>370</v>
      </c>
      <c r="D203" s="31"/>
      <c r="E203" s="31"/>
      <c r="F203" s="31"/>
      <c r="G203" s="31"/>
      <c r="H203" s="32" t="s">
        <v>380</v>
      </c>
    </row>
    <row r="204" s="1" customFormat="1" ht="14.25" customHeight="1">
      <c r="A204" s="43"/>
      <c r="B204" s="29" t="s">
        <v>381</v>
      </c>
      <c r="C204" s="64" t="s">
        <v>370</v>
      </c>
      <c r="D204" s="31"/>
      <c r="E204" s="31"/>
      <c r="F204" s="31"/>
      <c r="G204" s="31"/>
      <c r="H204" s="32" t="s">
        <v>382</v>
      </c>
    </row>
    <row r="205" s="1" customFormat="1" ht="14.25" customHeight="1">
      <c r="A205" s="43"/>
      <c r="B205" s="29" t="s">
        <v>376</v>
      </c>
      <c r="C205" s="64" t="s">
        <v>370</v>
      </c>
      <c r="D205" s="31"/>
      <c r="E205" s="31"/>
      <c r="F205" s="31"/>
      <c r="G205" s="31"/>
      <c r="H205" s="32" t="s">
        <v>383</v>
      </c>
    </row>
    <row r="206" s="1" customFormat="1">
      <c r="A206" s="43"/>
      <c r="B206" s="29" t="s">
        <v>384</v>
      </c>
      <c r="C206" s="64" t="s">
        <v>385</v>
      </c>
      <c r="D206" s="45" t="e">
        <f>D10/D202/12</f>
        <v>#DIV/0!</v>
      </c>
      <c r="E206" s="45" t="e">
        <f>E10/E202/12</f>
        <v>#DIV/0!</v>
      </c>
      <c r="F206" s="45" t="e">
        <f>F10/F202/12</f>
        <v>#DIV/0!</v>
      </c>
      <c r="G206" s="45" t="e">
        <f>G10/G202/12</f>
        <v>#DIV/0!</v>
      </c>
      <c r="H206" s="34"/>
    </row>
    <row r="207" s="1" customFormat="1">
      <c r="A207" s="43"/>
      <c r="B207" s="29" t="s">
        <v>372</v>
      </c>
      <c r="C207" s="64" t="s">
        <v>385</v>
      </c>
      <c r="D207" s="45" t="e">
        <f>D11/D203/12</f>
        <v>#DIV/0!</v>
      </c>
      <c r="E207" s="45" t="e">
        <f>E11/E203/12</f>
        <v>#DIV/0!</v>
      </c>
      <c r="F207" s="45" t="e">
        <f>F11/F203/12</f>
        <v>#DIV/0!</v>
      </c>
      <c r="G207" s="45" t="e">
        <f>G11/G203/12</f>
        <v>#DIV/0!</v>
      </c>
      <c r="H207" s="34"/>
    </row>
    <row r="208" s="1" customFormat="1">
      <c r="A208" s="43"/>
      <c r="B208" s="29" t="s">
        <v>386</v>
      </c>
      <c r="C208" s="64" t="s">
        <v>385</v>
      </c>
      <c r="D208" s="45" t="e">
        <f>D12/D204/12</f>
        <v>#DIV/0!</v>
      </c>
      <c r="E208" s="45" t="e">
        <f>E12/E204/12</f>
        <v>#DIV/0!</v>
      </c>
      <c r="F208" s="45" t="e">
        <f>F12/F204/12</f>
        <v>#DIV/0!</v>
      </c>
      <c r="G208" s="45" t="e">
        <f>G12/G204/12</f>
        <v>#DIV/0!</v>
      </c>
      <c r="H208" s="34"/>
    </row>
    <row r="209" s="1" customFormat="1">
      <c r="A209" s="43"/>
      <c r="B209" s="29" t="s">
        <v>376</v>
      </c>
      <c r="C209" s="64" t="s">
        <v>385</v>
      </c>
      <c r="D209" s="45" t="e">
        <f>D13/D205/12</f>
        <v>#DIV/0!</v>
      </c>
      <c r="E209" s="45" t="e">
        <f>E13/E205/12</f>
        <v>#DIV/0!</v>
      </c>
      <c r="F209" s="45" t="e">
        <f>F13/F205/12</f>
        <v>#DIV/0!</v>
      </c>
      <c r="G209" s="45" t="e">
        <f>G13/G205/12</f>
        <v>#DIV/0!</v>
      </c>
      <c r="H209" s="34"/>
    </row>
    <row r="210" s="1" customFormat="1" ht="9" customHeight="1">
      <c r="A210" s="96"/>
      <c r="B210" s="97"/>
      <c r="C210" s="98"/>
      <c r="D210" s="99"/>
      <c r="E210" s="99"/>
      <c r="F210" s="99"/>
      <c r="G210" s="99"/>
      <c r="H210" s="100"/>
    </row>
    <row r="211">
      <c r="A211" s="101"/>
      <c r="B211" s="101"/>
      <c r="C211" s="101"/>
      <c r="D211" s="102"/>
      <c r="E211" s="102"/>
      <c r="F211" s="102"/>
      <c r="G211" s="102"/>
      <c r="H211" s="101"/>
    </row>
    <row r="212" ht="15" customHeight="1">
      <c r="A212" s="103"/>
      <c r="B212" s="103"/>
      <c r="C212" s="103"/>
      <c r="D212" s="103"/>
      <c r="E212" s="104"/>
      <c r="F212" s="104"/>
      <c r="G212" s="104"/>
      <c r="H212" s="103"/>
    </row>
    <row r="213">
      <c r="A213" s="101"/>
      <c r="B213" s="101" t="s">
        <v>387</v>
      </c>
      <c r="C213" s="101" t="s">
        <v>388</v>
      </c>
      <c r="D213" s="102"/>
      <c r="E213" s="102"/>
      <c r="F213" s="102"/>
      <c r="G213" s="102"/>
      <c r="H213" s="101"/>
    </row>
    <row r="214">
      <c r="A214" s="101"/>
      <c r="B214" s="101"/>
      <c r="C214" s="101"/>
      <c r="D214" s="102"/>
      <c r="E214" s="102"/>
      <c r="F214" s="102"/>
      <c r="G214" s="102"/>
      <c r="H214" s="101"/>
    </row>
    <row r="215">
      <c r="A215" s="101"/>
      <c r="B215" s="105" t="s">
        <v>389</v>
      </c>
      <c r="C215" s="105"/>
      <c r="D215" s="105"/>
      <c r="E215" s="105"/>
      <c r="F215" s="105"/>
      <c r="G215" s="105"/>
      <c r="H215" s="105"/>
    </row>
    <row r="216">
      <c r="A216" s="101"/>
      <c r="B216" s="106"/>
      <c r="C216" s="106"/>
      <c r="D216" s="106"/>
      <c r="E216" s="106"/>
      <c r="F216" s="106"/>
      <c r="G216" s="106"/>
      <c r="H216" s="106"/>
    </row>
    <row r="217">
      <c r="A217" s="101"/>
      <c r="B217" s="101"/>
      <c r="C217" s="101"/>
      <c r="D217" s="102"/>
      <c r="E217" s="102"/>
      <c r="F217" s="102"/>
      <c r="G217" s="102"/>
      <c r="H217" s="101"/>
    </row>
    <row r="218">
      <c r="A218" s="101"/>
      <c r="B218" s="101"/>
      <c r="C218" s="101"/>
      <c r="D218" s="102"/>
      <c r="E218" s="102"/>
      <c r="F218" s="102"/>
      <c r="G218" s="102"/>
      <c r="H218" s="101"/>
    </row>
    <row r="219">
      <c r="A219" s="101"/>
      <c r="B219" s="101"/>
      <c r="C219" s="101"/>
      <c r="D219" s="102"/>
      <c r="E219" s="102"/>
      <c r="F219" s="102"/>
      <c r="G219" s="102"/>
      <c r="H219" s="101"/>
    </row>
    <row r="220">
      <c r="A220" s="101"/>
      <c r="B220" s="101"/>
      <c r="C220" s="101"/>
      <c r="D220" s="102"/>
      <c r="E220" s="102"/>
      <c r="F220" s="102"/>
      <c r="G220" s="102"/>
      <c r="H220" s="101"/>
    </row>
    <row r="221">
      <c r="A221" s="101"/>
      <c r="B221" s="101"/>
      <c r="C221" s="101"/>
      <c r="D221" s="102"/>
      <c r="E221" s="102"/>
      <c r="F221" s="102"/>
      <c r="G221" s="102"/>
      <c r="H221" s="101"/>
    </row>
    <row r="222">
      <c r="A222" s="101"/>
      <c r="B222" s="101"/>
      <c r="C222" s="101"/>
      <c r="D222" s="102"/>
      <c r="E222" s="102"/>
      <c r="F222" s="102"/>
      <c r="G222" s="102"/>
      <c r="H222" s="101"/>
    </row>
    <row r="223">
      <c r="A223" s="101"/>
      <c r="B223" s="101"/>
      <c r="C223" s="101"/>
      <c r="D223" s="102"/>
      <c r="E223" s="102"/>
      <c r="F223" s="102"/>
      <c r="G223" s="102"/>
      <c r="H223" s="101"/>
    </row>
    <row r="224">
      <c r="A224" s="101"/>
      <c r="B224" s="101"/>
      <c r="C224" s="101"/>
      <c r="D224" s="102"/>
      <c r="E224" s="102"/>
      <c r="F224" s="102"/>
      <c r="G224" s="102"/>
      <c r="H224" s="101"/>
    </row>
    <row r="225">
      <c r="A225" s="101"/>
      <c r="B225" s="101"/>
      <c r="C225" s="101"/>
      <c r="D225" s="102"/>
      <c r="E225" s="102"/>
      <c r="F225" s="102"/>
      <c r="G225" s="102"/>
      <c r="H225" s="101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07" t="s">
        <v>390</v>
      </c>
    </row>
    <row r="2">
      <c r="C2" s="108"/>
    </row>
    <row r="4">
      <c r="B4" s="109" t="s">
        <v>391</v>
      </c>
      <c r="C4" s="109"/>
      <c r="D4" s="109"/>
      <c r="E4" s="109"/>
    </row>
    <row r="5">
      <c r="B5" s="109" t="s">
        <v>392</v>
      </c>
      <c r="C5" s="109"/>
      <c r="D5" s="109"/>
      <c r="E5" s="109"/>
    </row>
    <row r="6">
      <c r="B6" s="110" t="s">
        <v>393</v>
      </c>
      <c r="C6" s="111"/>
    </row>
    <row r="7">
      <c r="C7" s="112" t="s">
        <v>7</v>
      </c>
    </row>
    <row r="8" thickBot="1" ht="13.5" customHeight="1">
      <c r="D8" s="112"/>
    </row>
    <row r="9" ht="71.25" customHeight="1">
      <c r="B9" s="113"/>
      <c r="C9" s="114" t="s">
        <v>394</v>
      </c>
      <c r="D9" s="114" t="s">
        <v>395</v>
      </c>
      <c r="E9" s="115" t="s">
        <v>396</v>
      </c>
    </row>
    <row r="10">
      <c r="B10" s="116">
        <v>1</v>
      </c>
      <c r="C10" s="117">
        <v>2</v>
      </c>
      <c r="D10" s="117">
        <v>3</v>
      </c>
      <c r="E10" s="118">
        <v>4</v>
      </c>
    </row>
    <row r="11" ht="18.75" customHeight="1">
      <c r="B11" s="119" t="s">
        <v>397</v>
      </c>
      <c r="C11" s="120">
        <f>C12+C13+C14+C15</f>
        <v>0</v>
      </c>
      <c r="D11" s="120">
        <f>D12+D13+D14+D15</f>
        <v>0</v>
      </c>
      <c r="E11" s="121">
        <f>E12+E13+E14+E15</f>
        <v>0</v>
      </c>
    </row>
    <row r="12" ht="19.5" customHeight="1">
      <c r="B12" s="122" t="s">
        <v>398</v>
      </c>
      <c r="C12" s="123"/>
      <c r="D12" s="123"/>
      <c r="E12" s="123"/>
    </row>
    <row r="13" ht="18" customHeight="1">
      <c r="B13" s="122" t="s">
        <v>399</v>
      </c>
      <c r="C13" s="123"/>
      <c r="D13" s="123"/>
      <c r="E13" s="123"/>
    </row>
    <row r="14" ht="21.75" customHeight="1">
      <c r="B14" s="122" t="s">
        <v>400</v>
      </c>
      <c r="C14" s="123"/>
      <c r="D14" s="123"/>
      <c r="E14" s="123"/>
    </row>
    <row r="15" thickBot="1" ht="24" customHeight="1">
      <c r="B15" s="124" t="s">
        <v>401</v>
      </c>
      <c r="C15" s="123"/>
      <c r="D15" s="123"/>
      <c r="E15" s="123"/>
    </row>
    <row r="16">
      <c r="B16" s="125"/>
      <c r="C16" s="125"/>
      <c r="D16" s="126"/>
      <c r="E16" s="126"/>
    </row>
    <row r="17">
      <c r="B17" s="125"/>
      <c r="C17" s="125"/>
      <c r="D17" s="126"/>
      <c r="E17" s="126"/>
    </row>
    <row r="18">
      <c r="B18" s="101" t="s">
        <v>387</v>
      </c>
      <c r="C18" s="101"/>
      <c r="D18" s="101"/>
      <c r="E18" s="101"/>
    </row>
    <row r="19">
      <c r="B19" s="127" t="s">
        <v>402</v>
      </c>
      <c r="C19" s="101"/>
      <c r="D19" s="128" t="s">
        <v>403</v>
      </c>
      <c r="E19" s="101"/>
    </row>
    <row r="20">
      <c r="B20" s="101" t="s">
        <v>404</v>
      </c>
      <c r="C20" s="101"/>
      <c r="D20" s="129" t="s">
        <v>405</v>
      </c>
      <c r="E20" s="101"/>
    </row>
    <row r="21">
      <c r="B21" s="101"/>
      <c r="C21" s="101"/>
      <c r="D21" s="129"/>
      <c r="E21" s="101"/>
    </row>
    <row r="22" ht="14.25" customHeight="1">
      <c r="B22" s="130" t="s">
        <v>406</v>
      </c>
      <c r="C22" s="101"/>
      <c r="D22" s="101"/>
      <c r="E22" s="101"/>
    </row>
    <row r="23" ht="15" customHeight="1">
      <c r="B23" s="131" t="s">
        <v>407</v>
      </c>
      <c r="C23" s="131"/>
      <c r="D23" s="131"/>
      <c r="E23" s="131"/>
    </row>
    <row r="24" ht="29.25" customHeight="1">
      <c r="B24" s="132" t="s">
        <v>408</v>
      </c>
      <c r="C24" s="132"/>
      <c r="D24" s="132"/>
      <c r="E24" s="132"/>
    </row>
    <row r="25">
      <c r="B25" s="101"/>
      <c r="C25" s="101"/>
      <c r="D25" s="101"/>
      <c r="E25" s="101"/>
    </row>
    <row r="26">
      <c r="B26" s="101"/>
      <c r="C26" s="101"/>
      <c r="D26" s="101"/>
      <c r="E26" s="101"/>
    </row>
    <row r="27">
      <c r="B27" s="101"/>
      <c r="C27" s="101"/>
      <c r="D27" s="101"/>
      <c r="E27" s="101"/>
    </row>
    <row r="28">
      <c r="B28" s="101"/>
      <c r="C28" s="101"/>
      <c r="D28" s="101"/>
      <c r="E28" s="101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3"/>
      <c r="K1" s="107"/>
      <c r="N1" s="107" t="s">
        <v>409</v>
      </c>
    </row>
    <row r="2" ht="25.5" customHeight="1">
      <c r="A2" s="134" t="s">
        <v>410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ht="15.75" customHeight="1">
      <c r="A3" s="135" t="s">
        <v>411</v>
      </c>
    </row>
    <row r="5">
      <c r="A5" t="s">
        <v>393</v>
      </c>
      <c r="B5" s="111"/>
    </row>
    <row r="6">
      <c r="B6" s="112" t="s">
        <v>7</v>
      </c>
    </row>
    <row r="7">
      <c r="A7" s="136" t="s">
        <v>412</v>
      </c>
      <c r="B7" s="136" t="s">
        <v>413</v>
      </c>
      <c r="C7" s="137" t="s">
        <v>414</v>
      </c>
      <c r="D7" s="137"/>
      <c r="E7" s="137"/>
      <c r="F7" s="137" t="s">
        <v>415</v>
      </c>
      <c r="G7" s="137"/>
      <c r="H7" s="137"/>
      <c r="I7" s="137" t="s">
        <v>416</v>
      </c>
      <c r="J7" s="137"/>
      <c r="K7" s="137"/>
      <c r="L7" s="137" t="s">
        <v>417</v>
      </c>
      <c r="M7" s="137"/>
      <c r="N7" s="137"/>
    </row>
    <row r="8" ht="38.25" customHeight="1">
      <c r="A8" s="136"/>
      <c r="B8" s="136"/>
      <c r="C8" s="136" t="s">
        <v>418</v>
      </c>
      <c r="D8" s="136" t="s">
        <v>419</v>
      </c>
      <c r="E8" s="136" t="s">
        <v>420</v>
      </c>
      <c r="F8" s="136" t="s">
        <v>418</v>
      </c>
      <c r="G8" s="136" t="s">
        <v>419</v>
      </c>
      <c r="H8" s="136" t="s">
        <v>420</v>
      </c>
      <c r="I8" s="136" t="s">
        <v>418</v>
      </c>
      <c r="J8" s="136" t="s">
        <v>419</v>
      </c>
      <c r="K8" s="136" t="s">
        <v>420</v>
      </c>
      <c r="L8" s="136" t="s">
        <v>418</v>
      </c>
      <c r="M8" s="136" t="s">
        <v>419</v>
      </c>
      <c r="N8" s="136" t="s">
        <v>420</v>
      </c>
    </row>
    <row r="9">
      <c r="A9" s="138">
        <v>1</v>
      </c>
      <c r="B9" s="138">
        <v>2</v>
      </c>
      <c r="C9" s="138">
        <v>3</v>
      </c>
      <c r="D9" s="138">
        <v>4</v>
      </c>
      <c r="E9" s="138">
        <v>5</v>
      </c>
      <c r="F9" s="138">
        <v>6</v>
      </c>
      <c r="G9" s="138">
        <v>7</v>
      </c>
      <c r="H9" s="138">
        <v>8</v>
      </c>
      <c r="I9" s="138">
        <v>9</v>
      </c>
      <c r="J9" s="138">
        <v>10</v>
      </c>
      <c r="K9" s="138">
        <v>11</v>
      </c>
      <c r="L9" s="138">
        <v>9</v>
      </c>
      <c r="M9" s="138">
        <v>10</v>
      </c>
      <c r="N9" s="138">
        <v>11</v>
      </c>
    </row>
    <row r="10">
      <c r="A10" s="138" t="s">
        <v>421</v>
      </c>
      <c r="B10" s="138"/>
      <c r="C10" s="138"/>
      <c r="D10" s="138"/>
      <c r="E10" s="139">
        <f>E11+E12+E13+E14+E15+E16</f>
        <v>0</v>
      </c>
      <c r="F10" s="139"/>
      <c r="G10" s="139"/>
      <c r="H10" s="139">
        <f>H11+H12+H13+H14+H15+H16</f>
        <v>0</v>
      </c>
      <c r="I10" s="139"/>
      <c r="J10" s="139"/>
      <c r="K10" s="139">
        <f>K11+K12+K13+K14+K15+K16</f>
        <v>0</v>
      </c>
      <c r="L10" s="139"/>
      <c r="M10" s="139"/>
      <c r="N10" s="139">
        <f>N11+N12+N13+N14+N15+N16</f>
        <v>0</v>
      </c>
    </row>
    <row r="11" ht="27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</row>
    <row r="12" ht="24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</row>
    <row r="13" ht="22.5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</row>
    <row r="14" ht="22.5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</row>
    <row r="15" ht="22.5" customHeight="1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</row>
    <row r="16" ht="30" customHeight="1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</row>
    <row r="17">
      <c r="A17" s="141"/>
    </row>
    <row r="18">
      <c r="A18" s="101" t="s">
        <v>387</v>
      </c>
      <c r="B18" s="101"/>
      <c r="C18" s="101"/>
      <c r="D18" s="128" t="s">
        <v>403</v>
      </c>
      <c r="E18" s="101"/>
    </row>
    <row r="19">
      <c r="A19" s="101" t="s">
        <v>422</v>
      </c>
      <c r="B19" s="129"/>
      <c r="C19" s="101"/>
      <c r="E19" s="129" t="s">
        <v>423</v>
      </c>
    </row>
    <row r="20">
      <c r="A20" s="101" t="s">
        <v>424</v>
      </c>
      <c r="B20" s="127"/>
      <c r="C20" s="101"/>
      <c r="D20" s="101"/>
      <c r="E20" s="101"/>
      <c r="F20" s="101"/>
      <c r="G20" s="141"/>
      <c r="H20" s="141"/>
      <c r="I20" s="141"/>
      <c r="J20" s="141"/>
      <c r="K20" s="141"/>
    </row>
    <row r="21">
      <c r="A21" s="101"/>
      <c r="B21" s="101"/>
      <c r="C21" s="101"/>
      <c r="D21" s="101"/>
      <c r="E21" s="101"/>
      <c r="F21" s="101"/>
    </row>
    <row r="23">
      <c r="A23" s="128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2025-03-12T14:33:36Z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