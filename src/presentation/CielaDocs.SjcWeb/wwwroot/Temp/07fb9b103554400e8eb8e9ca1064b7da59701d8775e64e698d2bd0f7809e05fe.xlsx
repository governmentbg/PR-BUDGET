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<sst xmlns="http://schemas.openxmlformats.org/spreadsheetml/2006/main">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</sst>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12">
      <selection activeCell="G23" sqref="G23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100</v>
      </c>
      <c r="F9" s="21">
        <f>F10+F14+F45+F58+F157+F166+F169+F173+F192+F195</f>
        <v>200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100</v>
      </c>
      <c r="F14" s="26">
        <f>F15+F18+F24+F37+F41</f>
        <v>200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100</v>
      </c>
      <c r="F18" s="42">
        <f>F19+F22+F23</f>
        <v>200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>
        <v>100</v>
      </c>
      <c r="F23" s="31">
        <v>200</v>
      </c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 t="e">
        <f>D63/D202*D203</f>
        <v>#DIV/0!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 t="e">
        <f>D63/D202*D204</f>
        <v>#DIV/0!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 t="e">
        <f>D63/D202*D205</f>
        <v>#DIV/0!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 t="e">
        <f>D77/D202*D203</f>
        <v>#DIV/0!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 t="e">
        <f>D77/D202*D204</f>
        <v>#DIV/0!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 t="e">
        <f>D77/D202*D205</f>
        <v>#DIV/0!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 t="e">
        <f>D81/D202*D203</f>
        <v>#DIV/0!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 t="e">
        <f>D81/D202*D204</f>
        <v>#DIV/0!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 t="e">
        <f>D81/D202*D205</f>
        <v>#DIV/0!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 t="e">
        <f>D86/D202*D203</f>
        <v>#DIV/0!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 t="e">
        <f>D86/D202*D204</f>
        <v>#DIV/0!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 t="e">
        <f>D86/D202*D205</f>
        <v>#DIV/0!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 t="e">
        <f>D92/D202*D203</f>
        <v>#DIV/0!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 t="e">
        <f>D92/D202*D204</f>
        <v>#DIV/0!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 t="e">
        <f>D92/D202*D205</f>
        <v>#DIV/0!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 t="e">
        <f>D109/D202*D203</f>
        <v>#DIV/0!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 t="e">
        <f>D109/D202*D204</f>
        <v>#DIV/0!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 t="e">
        <f>D109/D202*D205</f>
        <v>#DIV/0!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 t="e">
        <f>D114/D202*D203</f>
        <v>#DIV/0!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 t="e">
        <f>D114/D202*D204</f>
        <v>#DIV/0!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 t="e">
        <f>D114/D202*D205</f>
        <v>#DIV/0!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 t="e">
        <f>D118/D202*D203</f>
        <v>#DIV/0!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 t="e">
        <f>D118/D202*D204</f>
        <v>#DIV/0!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 t="e">
        <f>D118/D202*D205</f>
        <v>#DIV/0!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 t="e">
        <f>D122/D202*D203</f>
        <v>#DIV/0!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 t="e">
        <f>D122/D202*D204</f>
        <v>#DIV/0!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 t="e">
        <f>D122/D202*D205</f>
        <v>#DIV/0!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 t="e">
        <f>D135/D202*D203</f>
        <v>#DIV/0!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 t="e">
        <f>D135/D202*D204</f>
        <v>#DIV/0!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 t="e">
        <f>D135/D202*D205</f>
        <v>#DIV/0!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 t="e">
        <f>D149/D202*D203</f>
        <v>#DIV/0!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 t="e">
        <f>D149/D202*D204</f>
        <v>#DIV/0!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 t="e">
        <f>D149/D202*D205</f>
        <v>#DIV/0!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 t="e">
        <f>D153/D202*D203</f>
        <v>#DIV/0!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 t="e">
        <f>D153/D202*D204</f>
        <v>#DIV/0!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 t="e">
        <f>D153/D202*D205</f>
        <v>#DIV/0!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 t="e">
        <f>D158/D202*D203</f>
        <v>#DIV/0!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 t="e">
        <f>D158/D202*D204</f>
        <v>#DIV/0!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 t="e">
        <f>D158/D202*D205</f>
        <v>#DIV/0!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 t="e">
        <f>D162/D202*D203</f>
        <v>#DIV/0!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 t="e">
        <f>D162/D202*D204</f>
        <v>#DIV/0!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 t="e">
        <f>D162/D202*D205</f>
        <v>#DIV/0!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6</v>
      </c>
      <c r="B194" s="84" t="s">
        <v>361</v>
      </c>
      <c r="C194" s="85" t="s">
        <v>362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363</v>
      </c>
      <c r="B195" s="88" t="s">
        <v>364</v>
      </c>
      <c r="C195" s="89" t="s">
        <v>365</v>
      </c>
      <c r="D195" s="90"/>
      <c r="E195" s="90"/>
      <c r="F195" s="90"/>
      <c r="G195" s="90"/>
      <c r="H195" s="32" t="s">
        <v>366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367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368</v>
      </c>
      <c r="C198" s="65" t="s">
        <v>369</v>
      </c>
      <c r="D198" s="46">
        <f>D199+D200+D201</f>
        <v>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370</v>
      </c>
    </row>
    <row r="199" s="1" customFormat="1">
      <c r="A199" s="44"/>
      <c r="B199" s="29" t="s">
        <v>371</v>
      </c>
      <c r="C199" s="65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4"/>
      <c r="B200" s="29" t="s">
        <v>373</v>
      </c>
      <c r="C200" s="65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4"/>
      <c r="B201" s="29" t="s">
        <v>375</v>
      </c>
      <c r="C201" s="65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4"/>
      <c r="B202" s="29" t="s">
        <v>377</v>
      </c>
      <c r="C202" s="65" t="s">
        <v>369</v>
      </c>
      <c r="D202" s="46">
        <f>D203+D204+D205</f>
        <v>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378</v>
      </c>
    </row>
    <row r="203" s="1" customFormat="1">
      <c r="A203" s="44"/>
      <c r="B203" s="29" t="s">
        <v>371</v>
      </c>
      <c r="C203" s="65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4"/>
      <c r="B204" s="29" t="s">
        <v>380</v>
      </c>
      <c r="C204" s="65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4"/>
      <c r="B205" s="29" t="s">
        <v>375</v>
      </c>
      <c r="C205" s="65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4"/>
      <c r="B206" s="29" t="s">
        <v>383</v>
      </c>
      <c r="C206" s="65" t="s">
        <v>384</v>
      </c>
      <c r="D206" s="46" t="e">
        <f>D10/D202/12</f>
        <v>#DIV/0!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371</v>
      </c>
      <c r="C207" s="65" t="s">
        <v>384</v>
      </c>
      <c r="D207" s="46" t="e">
        <f>D11/D203/12</f>
        <v>#DIV/0!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385</v>
      </c>
      <c r="C208" s="65" t="s">
        <v>384</v>
      </c>
      <c r="D208" s="46" t="e">
        <f>D12/D204/12</f>
        <v>#DIV/0!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375</v>
      </c>
      <c r="C209" s="65" t="s">
        <v>384</v>
      </c>
      <c r="D209" s="46" t="e">
        <f>D13/D205/12</f>
        <v>#DIV/0!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386</v>
      </c>
      <c r="C213" s="106" t="s">
        <v>387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388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389</v>
      </c>
    </row>
    <row r="2">
      <c r="C2" s="113"/>
    </row>
    <row r="4">
      <c r="B4" s="114" t="s">
        <v>390</v>
      </c>
      <c r="C4" s="114"/>
      <c r="D4" s="114"/>
      <c r="E4" s="114"/>
    </row>
    <row r="5">
      <c r="B5" s="114" t="s">
        <v>391</v>
      </c>
      <c r="C5" s="114"/>
      <c r="D5" s="114"/>
      <c r="E5" s="114"/>
    </row>
    <row r="6">
      <c r="B6" s="115" t="s">
        <v>392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393</v>
      </c>
      <c r="D9" s="119" t="s">
        <v>394</v>
      </c>
      <c r="E9" s="120" t="s">
        <v>395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396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397</v>
      </c>
      <c r="C12" s="128"/>
      <c r="D12" s="128"/>
      <c r="E12" s="128"/>
    </row>
    <row r="13" ht="18" customHeight="1">
      <c r="B13" s="127" t="s">
        <v>398</v>
      </c>
      <c r="C13" s="128"/>
      <c r="D13" s="128"/>
      <c r="E13" s="128"/>
    </row>
    <row r="14" ht="21.75" customHeight="1">
      <c r="B14" s="127" t="s">
        <v>399</v>
      </c>
      <c r="C14" s="128"/>
      <c r="D14" s="128"/>
      <c r="E14" s="128"/>
    </row>
    <row r="15" thickBot="1" ht="24" customHeight="1">
      <c r="B15" s="129" t="s">
        <v>400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386</v>
      </c>
      <c r="C18" s="106"/>
      <c r="D18" s="106"/>
      <c r="E18" s="106"/>
    </row>
    <row r="19">
      <c r="B19" s="132" t="s">
        <v>401</v>
      </c>
      <c r="C19" s="106"/>
      <c r="D19" s="133" t="s">
        <v>402</v>
      </c>
      <c r="E19" s="106"/>
    </row>
    <row r="20">
      <c r="B20" s="106" t="s">
        <v>403</v>
      </c>
      <c r="C20" s="106"/>
      <c r="D20" s="134" t="s">
        <v>404</v>
      </c>
      <c r="E20" s="106"/>
    </row>
    <row r="21">
      <c r="B21" s="106"/>
      <c r="C21" s="106"/>
      <c r="D21" s="134"/>
      <c r="E21" s="106"/>
    </row>
    <row r="22" ht="13.8" customHeight="1">
      <c r="B22" s="135" t="s">
        <v>405</v>
      </c>
      <c r="C22" s="106"/>
      <c r="D22" s="106"/>
      <c r="E22" s="106"/>
    </row>
    <row r="23" ht="15" customHeight="1">
      <c r="B23" s="136" t="s">
        <v>406</v>
      </c>
      <c r="C23" s="136"/>
      <c r="D23" s="136"/>
      <c r="E23" s="136"/>
    </row>
    <row r="24" ht="29.25" customHeight="1">
      <c r="B24" s="137" t="s">
        <v>407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408</v>
      </c>
    </row>
    <row r="2" ht="25.5" customHeight="1">
      <c r="A2" s="139" t="s">
        <v>409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410</v>
      </c>
    </row>
    <row r="5">
      <c r="A5" t="s">
        <v>392</v>
      </c>
      <c r="B5" s="116"/>
    </row>
    <row r="6">
      <c r="B6" s="117" t="s">
        <v>7</v>
      </c>
    </row>
    <row r="7">
      <c r="A7" s="141" t="s">
        <v>411</v>
      </c>
      <c r="B7" s="141" t="s">
        <v>412</v>
      </c>
      <c r="C7" s="142" t="s">
        <v>413</v>
      </c>
      <c r="D7" s="142"/>
      <c r="E7" s="142"/>
      <c r="F7" s="142" t="s">
        <v>414</v>
      </c>
      <c r="G7" s="142"/>
      <c r="H7" s="142"/>
      <c r="I7" s="142" t="s">
        <v>415</v>
      </c>
      <c r="J7" s="142"/>
      <c r="K7" s="142"/>
      <c r="L7" s="142" t="s">
        <v>416</v>
      </c>
      <c r="M7" s="142"/>
      <c r="N7" s="142"/>
    </row>
    <row r="8" ht="39.6" customHeight="1">
      <c r="A8" s="141"/>
      <c r="B8" s="141"/>
      <c r="C8" s="141" t="s">
        <v>417</v>
      </c>
      <c r="D8" s="141" t="s">
        <v>418</v>
      </c>
      <c r="E8" s="141" t="s">
        <v>419</v>
      </c>
      <c r="F8" s="141" t="s">
        <v>417</v>
      </c>
      <c r="G8" s="141" t="s">
        <v>418</v>
      </c>
      <c r="H8" s="141" t="s">
        <v>419</v>
      </c>
      <c r="I8" s="141" t="s">
        <v>417</v>
      </c>
      <c r="J8" s="141" t="s">
        <v>418</v>
      </c>
      <c r="K8" s="141" t="s">
        <v>419</v>
      </c>
      <c r="L8" s="141" t="s">
        <v>417</v>
      </c>
      <c r="M8" s="141" t="s">
        <v>418</v>
      </c>
      <c r="N8" s="141" t="s">
        <v>419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420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386</v>
      </c>
      <c r="B18" s="106"/>
      <c r="C18" s="106"/>
      <c r="D18" s="133" t="s">
        <v>402</v>
      </c>
      <c r="E18" s="106"/>
    </row>
    <row r="19">
      <c r="A19" s="106" t="s">
        <v>421</v>
      </c>
      <c r="B19" s="134"/>
      <c r="C19" s="106"/>
      <c r="E19" s="134" t="s">
        <v>422</v>
      </c>
    </row>
    <row r="20">
      <c r="A20" s="106" t="s">
        <v>423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2025-03-31T04:49:17Z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