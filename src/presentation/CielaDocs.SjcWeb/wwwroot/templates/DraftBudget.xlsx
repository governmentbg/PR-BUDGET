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CielaTeams\VSS\2025\Ralica_120325\"/>
    </mc:Choice>
  </mc:AlternateContent>
  <xr:revisionPtr revIDLastSave="0" documentId="13_ncr:1_{F66A2CFC-D0E7-4FBC-A120-769193D5CB3F}" xr6:coauthVersionLast="47" xr6:coauthVersionMax="47" xr10:uidLastSave="{00000000-0000-0000-0000-000000000000}"/>
  <bookViews>
    <workbookView xWindow="0" yWindow="2472" windowWidth="27372" windowHeight="12456" xr2:uid="{EA927942-F322-44C4-95F6-E3736F2B71A2}"/>
  </bookViews>
  <sheets>
    <sheet name="БП" sheetId="4" r:id="rId1"/>
    <sheet name="§§ 02-08" sheetId="6" r:id="rId2"/>
    <sheet name="§ 46-00" sheetId="5" r:id="rId3"/>
  </sheets>
  <definedNames>
    <definedName name="_xlnm.Print_Area" localSheetId="1">'§§ 02-08'!$A$1:$E$20</definedName>
    <definedName name="_xlnm.Print_Titles" localSheetId="0">БП!$8:$8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4" i="4" l="1"/>
  <c r="F144" i="4"/>
  <c r="G144" i="4"/>
  <c r="D144" i="4"/>
  <c r="D140" i="4"/>
  <c r="E130" i="4"/>
  <c r="F130" i="4"/>
  <c r="G130" i="4"/>
  <c r="D130" i="4"/>
  <c r="E126" i="4"/>
  <c r="F126" i="4"/>
  <c r="G126" i="4"/>
  <c r="D126" i="4"/>
  <c r="E105" i="4"/>
  <c r="F105" i="4"/>
  <c r="G105" i="4"/>
  <c r="D105" i="4"/>
  <c r="E96" i="4"/>
  <c r="F96" i="4"/>
  <c r="G96" i="4"/>
  <c r="D96" i="4"/>
  <c r="E71" i="4"/>
  <c r="F71" i="4"/>
  <c r="G71" i="4"/>
  <c r="D71" i="4"/>
  <c r="E67" i="4"/>
  <c r="F67" i="4"/>
  <c r="G67" i="4"/>
  <c r="D67" i="4"/>
  <c r="E59" i="4"/>
  <c r="F59" i="4"/>
  <c r="G59" i="4"/>
  <c r="D59" i="4"/>
  <c r="N10" i="5"/>
  <c r="E140" i="4"/>
  <c r="F140" i="4"/>
  <c r="G140" i="4"/>
  <c r="G148" i="4"/>
  <c r="G207" i="4"/>
  <c r="G208" i="4"/>
  <c r="G209" i="4"/>
  <c r="G202" i="4"/>
  <c r="G83" i="4" s="1"/>
  <c r="G159" i="4"/>
  <c r="G198" i="4"/>
  <c r="G192" i="4"/>
  <c r="G189" i="4"/>
  <c r="G186" i="4"/>
  <c r="G183" i="4"/>
  <c r="G180" i="4"/>
  <c r="G176" i="4"/>
  <c r="G169" i="4"/>
  <c r="G166" i="4"/>
  <c r="G157" i="4"/>
  <c r="G113" i="4"/>
  <c r="G90" i="4"/>
  <c r="G75" i="4"/>
  <c r="G54" i="4"/>
  <c r="G50" i="4"/>
  <c r="G46" i="4"/>
  <c r="G45" i="4" s="1"/>
  <c r="G41" i="4"/>
  <c r="G37" i="4"/>
  <c r="G33" i="4"/>
  <c r="G29" i="4"/>
  <c r="G25" i="4"/>
  <c r="G19" i="4"/>
  <c r="G18" i="4"/>
  <c r="G15" i="4"/>
  <c r="G10" i="4"/>
  <c r="D11" i="6"/>
  <c r="C11" i="6"/>
  <c r="D148" i="4"/>
  <c r="D19" i="4"/>
  <c r="D18" i="4" s="1"/>
  <c r="D10" i="4"/>
  <c r="E11" i="6"/>
  <c r="K10" i="5"/>
  <c r="H10" i="5"/>
  <c r="E10" i="5"/>
  <c r="D208" i="4"/>
  <c r="E208" i="4"/>
  <c r="F208" i="4"/>
  <c r="E189" i="4"/>
  <c r="F189" i="4"/>
  <c r="D189" i="4"/>
  <c r="E186" i="4"/>
  <c r="F186" i="4"/>
  <c r="D186" i="4"/>
  <c r="E183" i="4"/>
  <c r="F183" i="4"/>
  <c r="D183" i="4"/>
  <c r="E180" i="4"/>
  <c r="F180" i="4"/>
  <c r="D180" i="4"/>
  <c r="E176" i="4"/>
  <c r="F176" i="4"/>
  <c r="D176" i="4"/>
  <c r="D173" i="4" s="1"/>
  <c r="E169" i="4"/>
  <c r="F169" i="4"/>
  <c r="D169" i="4"/>
  <c r="E166" i="4"/>
  <c r="F166" i="4"/>
  <c r="D166" i="4"/>
  <c r="D75" i="4"/>
  <c r="E54" i="4"/>
  <c r="F54" i="4"/>
  <c r="D54" i="4"/>
  <c r="E50" i="4"/>
  <c r="F50" i="4"/>
  <c r="D50" i="4"/>
  <c r="E46" i="4"/>
  <c r="E45" i="4" s="1"/>
  <c r="F46" i="4"/>
  <c r="D46" i="4"/>
  <c r="E41" i="4"/>
  <c r="F41" i="4"/>
  <c r="D41" i="4"/>
  <c r="E37" i="4"/>
  <c r="F37" i="4"/>
  <c r="D37" i="4"/>
  <c r="E33" i="4"/>
  <c r="F33" i="4"/>
  <c r="D33" i="4"/>
  <c r="E29" i="4"/>
  <c r="F29" i="4"/>
  <c r="F24" i="4" s="1"/>
  <c r="D29" i="4"/>
  <c r="E25" i="4"/>
  <c r="F25" i="4"/>
  <c r="D25" i="4"/>
  <c r="E19" i="4"/>
  <c r="E18" i="4"/>
  <c r="F19" i="4"/>
  <c r="F18" i="4" s="1"/>
  <c r="E15" i="4"/>
  <c r="F15" i="4"/>
  <c r="D15" i="4"/>
  <c r="E10" i="4"/>
  <c r="F10" i="4"/>
  <c r="D202" i="4"/>
  <c r="D156" i="4" s="1"/>
  <c r="D84" i="4"/>
  <c r="E192" i="4"/>
  <c r="F192" i="4"/>
  <c r="D192" i="4"/>
  <c r="E157" i="4"/>
  <c r="F157" i="4"/>
  <c r="D157" i="4"/>
  <c r="E113" i="4"/>
  <c r="F113" i="4"/>
  <c r="D113" i="4"/>
  <c r="F90" i="4"/>
  <c r="E90" i="4"/>
  <c r="D90" i="4"/>
  <c r="E75" i="4"/>
  <c r="F75" i="4"/>
  <c r="E207" i="4"/>
  <c r="F207" i="4"/>
  <c r="E209" i="4"/>
  <c r="F209" i="4"/>
  <c r="D209" i="4"/>
  <c r="D207" i="4"/>
  <c r="E148" i="4"/>
  <c r="F148" i="4"/>
  <c r="E198" i="4"/>
  <c r="F198" i="4"/>
  <c r="D198" i="4"/>
  <c r="E202" i="4"/>
  <c r="E120" i="4" s="1"/>
  <c r="F202" i="4"/>
  <c r="F80" i="4" s="1"/>
  <c r="F138" i="4"/>
  <c r="F163" i="4"/>
  <c r="D119" i="4"/>
  <c r="D111" i="4"/>
  <c r="D159" i="4"/>
  <c r="D164" i="4"/>
  <c r="D121" i="4"/>
  <c r="D124" i="4"/>
  <c r="D137" i="4"/>
  <c r="D66" i="4"/>
  <c r="D154" i="4"/>
  <c r="D64" i="4"/>
  <c r="D116" i="4"/>
  <c r="D155" i="4"/>
  <c r="F165" i="4"/>
  <c r="D120" i="4"/>
  <c r="D65" i="4"/>
  <c r="D117" i="4"/>
  <c r="G24" i="4"/>
  <c r="D85" i="4" l="1"/>
  <c r="F85" i="4"/>
  <c r="F58" i="4" s="1"/>
  <c r="F9" i="4" s="1"/>
  <c r="G173" i="4"/>
  <c r="G168" i="4" s="1"/>
  <c r="F84" i="4"/>
  <c r="D150" i="4"/>
  <c r="G95" i="4"/>
  <c r="E78" i="4"/>
  <c r="G89" i="4"/>
  <c r="G163" i="4"/>
  <c r="D94" i="4"/>
  <c r="D88" i="4"/>
  <c r="D45" i="4"/>
  <c r="D112" i="4"/>
  <c r="D93" i="4"/>
  <c r="D80" i="4"/>
  <c r="D163" i="4"/>
  <c r="E85" i="4"/>
  <c r="E58" i="4" s="1"/>
  <c r="E24" i="4"/>
  <c r="E14" i="4" s="1"/>
  <c r="E95" i="4"/>
  <c r="F112" i="4"/>
  <c r="F95" i="4"/>
  <c r="F125" i="4"/>
  <c r="D78" i="4"/>
  <c r="D152" i="4"/>
  <c r="D123" i="4"/>
  <c r="D136" i="4"/>
  <c r="F14" i="4"/>
  <c r="F173" i="4"/>
  <c r="F168" i="4" s="1"/>
  <c r="G160" i="4"/>
  <c r="D161" i="4"/>
  <c r="D79" i="4"/>
  <c r="G65" i="4"/>
  <c r="D89" i="4"/>
  <c r="G64" i="4"/>
  <c r="D110" i="4"/>
  <c r="D206" i="4"/>
  <c r="D151" i="4"/>
  <c r="G85" i="4"/>
  <c r="G58" i="4" s="1"/>
  <c r="G9" i="4" s="1"/>
  <c r="D138" i="4"/>
  <c r="D160" i="4"/>
  <c r="E82" i="4"/>
  <c r="D24" i="4"/>
  <c r="D14" i="4" s="1"/>
  <c r="D83" i="4"/>
  <c r="E151" i="4"/>
  <c r="G66" i="4"/>
  <c r="G14" i="4"/>
  <c r="D125" i="4"/>
  <c r="E173" i="4"/>
  <c r="E168" i="4" s="1"/>
  <c r="G155" i="4"/>
  <c r="F45" i="4"/>
  <c r="D165" i="4"/>
  <c r="G79" i="4"/>
  <c r="D87" i="4"/>
  <c r="D115" i="4"/>
  <c r="E112" i="4"/>
  <c r="E155" i="4"/>
  <c r="D168" i="4"/>
  <c r="D95" i="4"/>
  <c r="F124" i="4"/>
  <c r="E110" i="4"/>
  <c r="D82" i="4"/>
  <c r="E64" i="4"/>
  <c r="D58" i="4"/>
  <c r="D9" i="4" s="1"/>
  <c r="E161" i="4"/>
  <c r="G152" i="4"/>
  <c r="G119" i="4"/>
  <c r="E164" i="4"/>
  <c r="F206" i="4"/>
  <c r="E165" i="4"/>
  <c r="F87" i="4"/>
  <c r="E121" i="4"/>
  <c r="E115" i="4"/>
  <c r="G78" i="4"/>
  <c r="F137" i="4"/>
  <c r="E79" i="4"/>
  <c r="E156" i="4"/>
  <c r="F120" i="4"/>
  <c r="F94" i="4"/>
  <c r="F89" i="4"/>
  <c r="G164" i="4"/>
  <c r="F154" i="4"/>
  <c r="F93" i="4"/>
  <c r="F116" i="4"/>
  <c r="E138" i="4"/>
  <c r="G121" i="4"/>
  <c r="E93" i="4"/>
  <c r="E206" i="4"/>
  <c r="E94" i="4"/>
  <c r="E154" i="4"/>
  <c r="F150" i="4"/>
  <c r="F121" i="4"/>
  <c r="F111" i="4"/>
  <c r="G161" i="4"/>
  <c r="E89" i="4"/>
  <c r="F64" i="4"/>
  <c r="E137" i="4"/>
  <c r="F117" i="4"/>
  <c r="G124" i="4"/>
  <c r="G80" i="4"/>
  <c r="F83" i="4"/>
  <c r="G84" i="4"/>
  <c r="E84" i="4"/>
  <c r="G156" i="4"/>
  <c r="F79" i="4"/>
  <c r="F78" i="4"/>
  <c r="E87" i="4"/>
  <c r="F65" i="4"/>
  <c r="G138" i="4"/>
  <c r="F160" i="4"/>
  <c r="G137" i="4"/>
  <c r="F123" i="4"/>
  <c r="E163" i="4"/>
  <c r="E124" i="4"/>
  <c r="G150" i="4"/>
  <c r="E116" i="4"/>
  <c r="F82" i="4"/>
  <c r="G136" i="4"/>
  <c r="F159" i="4"/>
  <c r="G123" i="4"/>
  <c r="E150" i="4"/>
  <c r="E80" i="4"/>
  <c r="E83" i="4"/>
  <c r="F136" i="4"/>
  <c r="G94" i="4"/>
  <c r="G82" i="4"/>
  <c r="F161" i="4"/>
  <c r="G120" i="4"/>
  <c r="F164" i="4"/>
  <c r="E66" i="4"/>
  <c r="G165" i="4"/>
  <c r="F110" i="4"/>
  <c r="E119" i="4"/>
  <c r="F115" i="4"/>
  <c r="G154" i="4"/>
  <c r="G117" i="4"/>
  <c r="E125" i="4"/>
  <c r="E111" i="4"/>
  <c r="G151" i="4"/>
  <c r="E65" i="4"/>
  <c r="E136" i="4"/>
  <c r="G88" i="4"/>
  <c r="F151" i="4"/>
  <c r="E123" i="4"/>
  <c r="G112" i="4"/>
  <c r="G125" i="4"/>
  <c r="G93" i="4"/>
  <c r="E117" i="4"/>
  <c r="E152" i="4"/>
  <c r="F155" i="4"/>
  <c r="F152" i="4"/>
  <c r="F119" i="4"/>
  <c r="G206" i="4"/>
  <c r="G115" i="4"/>
  <c r="G87" i="4"/>
  <c r="F66" i="4"/>
  <c r="E160" i="4"/>
  <c r="E159" i="4"/>
  <c r="F156" i="4"/>
  <c r="G116" i="4"/>
  <c r="G111" i="4"/>
  <c r="F88" i="4"/>
  <c r="G110" i="4"/>
  <c r="E88" i="4"/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Rali Videnova</author>
  </authors>
  <commentList>
    <comment ref="H5" authorId="0" shapeId="0" xr:uid="{C2E81366-6BDC-40FE-913D-B1FC9FA29EDA}">
      <text>
        <r>
          <rPr>
            <b/>
            <sz val="9"/>
            <color indexed="81"/>
            <rFont val="Tahoma"/>
            <family val="2"/>
            <charset val="204"/>
          </rPr>
          <t>Rali Videnova:</t>
        </r>
        <r>
          <rPr>
            <sz val="9"/>
            <color indexed="81"/>
            <rFont val="Tahoma"/>
            <family val="2"/>
            <charset val="204"/>
          </rPr>
          <t xml:space="preserve">
Следва да се попълни код от Конто</t>
        </r>
      </text>
    </comment>
  </commentList>
</comments>
</file>

<file path=xl/sharedStrings.xml><?xml version="1.0" encoding="utf-8"?>
<sst xmlns="http://schemas.openxmlformats.org/spreadsheetml/2006/main" count="649" uniqueCount="422">
  <si>
    <t>Пор.№</t>
  </si>
  <si>
    <t>Наименование на показателите</t>
  </si>
  <si>
    <t>1</t>
  </si>
  <si>
    <t>2</t>
  </si>
  <si>
    <t>7</t>
  </si>
  <si>
    <t>46-00</t>
  </si>
  <si>
    <t>ІІ.</t>
  </si>
  <si>
    <t>ІІІ.</t>
  </si>
  <si>
    <t>IX.</t>
  </si>
  <si>
    <t>Разходи по бюджета на СВ</t>
  </si>
  <si>
    <t>I.</t>
  </si>
  <si>
    <t>01-00</t>
  </si>
  <si>
    <t>02-00</t>
  </si>
  <si>
    <t>02-01</t>
  </si>
  <si>
    <t>02-02</t>
  </si>
  <si>
    <t>02021</t>
  </si>
  <si>
    <t>02022</t>
  </si>
  <si>
    <t>02023</t>
  </si>
  <si>
    <t>Изплатени суми от СБКО на персонала с характер на възнаграждения и изплатени суми за облекло</t>
  </si>
  <si>
    <t>02-05</t>
  </si>
  <si>
    <t xml:space="preserve"> Изплатени суми за облекло</t>
  </si>
  <si>
    <t xml:space="preserve"> 02051</t>
  </si>
  <si>
    <t>Обезщетения на персонала с характер на възнаграждение</t>
  </si>
  <si>
    <t>02-08</t>
  </si>
  <si>
    <t>02-09</t>
  </si>
  <si>
    <t>Общо  осигуровки</t>
  </si>
  <si>
    <t>05-00</t>
  </si>
  <si>
    <t>05-51</t>
  </si>
  <si>
    <t>05-60</t>
  </si>
  <si>
    <t>05-80</t>
  </si>
  <si>
    <t>Издръжка</t>
  </si>
  <si>
    <t>10-00</t>
  </si>
  <si>
    <t>Храна ( порцион )</t>
  </si>
  <si>
    <t>10-11</t>
  </si>
  <si>
    <t>Медикаменти</t>
  </si>
  <si>
    <t>10-12</t>
  </si>
  <si>
    <t>Постелен инвентар и работно облекло</t>
  </si>
  <si>
    <t>10-13</t>
  </si>
  <si>
    <t>Учебни и научно-изследователски разходи и книги за библиотеките</t>
  </si>
  <si>
    <t>10-14</t>
  </si>
  <si>
    <t>10-15</t>
  </si>
  <si>
    <t>10-16</t>
  </si>
  <si>
    <t>10-20</t>
  </si>
  <si>
    <t>Разходи за транспорт</t>
  </si>
  <si>
    <t>102001</t>
  </si>
  <si>
    <t>Разходи за пощенски и телекомуникационни услуги</t>
  </si>
  <si>
    <t>102002</t>
  </si>
  <si>
    <t>Разходи за квалификация и преквалификация на персонала</t>
  </si>
  <si>
    <t>102003</t>
  </si>
  <si>
    <t>102004</t>
  </si>
  <si>
    <t>102005</t>
  </si>
  <si>
    <t xml:space="preserve"> Разходи за конвоиране</t>
  </si>
  <si>
    <t>102006</t>
  </si>
  <si>
    <t xml:space="preserve"> Разходи за възнаграждения на вещи лица</t>
  </si>
  <si>
    <t>102007</t>
  </si>
  <si>
    <t xml:space="preserve"> 102008</t>
  </si>
  <si>
    <t>Изработка на очила</t>
  </si>
  <si>
    <t>102009</t>
  </si>
  <si>
    <t>Текущ ремонт</t>
  </si>
  <si>
    <t>10-30</t>
  </si>
  <si>
    <t>Текущ ремонт на сгради</t>
  </si>
  <si>
    <t xml:space="preserve"> 10301</t>
  </si>
  <si>
    <t xml:space="preserve"> Текущ ремонт на автомобили</t>
  </si>
  <si>
    <t xml:space="preserve"> 10302</t>
  </si>
  <si>
    <t>Друг текущ ремонт</t>
  </si>
  <si>
    <t xml:space="preserve"> 10303</t>
  </si>
  <si>
    <t>10-51</t>
  </si>
  <si>
    <t>10-52</t>
  </si>
  <si>
    <t xml:space="preserve"> Дългосрочни командировки в чужбина</t>
  </si>
  <si>
    <t>10-53</t>
  </si>
  <si>
    <t>10-62</t>
  </si>
  <si>
    <t>10-69</t>
  </si>
  <si>
    <t>10-91</t>
  </si>
  <si>
    <t>10-92</t>
  </si>
  <si>
    <t>10-98</t>
  </si>
  <si>
    <t xml:space="preserve"> Посрещане на гости и представителни разходи</t>
  </si>
  <si>
    <t>109801</t>
  </si>
  <si>
    <t>Други некласифицирани разходи</t>
  </si>
  <si>
    <t>109802</t>
  </si>
  <si>
    <t>19-00</t>
  </si>
  <si>
    <t>платени държавни данъци, такси, наказат. лихви и админ. санкции</t>
  </si>
  <si>
    <t>19-01</t>
  </si>
  <si>
    <t>платени общински данъци, такси, наказат. лихви и админ. санкции</t>
  </si>
  <si>
    <t>19-81</t>
  </si>
  <si>
    <t>Разходи за членски внос и участие в нетърговски организации и дейности</t>
  </si>
  <si>
    <t>Общо средства за ДМА (§51-00+ §52-00+§53-00)</t>
  </si>
  <si>
    <t xml:space="preserve"> Основен ремонт на ДМА</t>
  </si>
  <si>
    <t>51-00</t>
  </si>
  <si>
    <t>Придобиване на ДМА</t>
  </si>
  <si>
    <t>52-00</t>
  </si>
  <si>
    <t>52-01</t>
  </si>
  <si>
    <t>придобиване на сгради</t>
  </si>
  <si>
    <t>52-02</t>
  </si>
  <si>
    <t>придобиване на друго оборудване и съоръжения</t>
  </si>
  <si>
    <t>52-03</t>
  </si>
  <si>
    <t>придобиване на транспортни средства</t>
  </si>
  <si>
    <t>52-04</t>
  </si>
  <si>
    <t>придобиване на стопански инвентар</t>
  </si>
  <si>
    <t>52-05</t>
  </si>
  <si>
    <t>изграждане на инфраструктурни обекти</t>
  </si>
  <si>
    <t>52-06</t>
  </si>
  <si>
    <t>придобиване на други ДМА</t>
  </si>
  <si>
    <t>52-19</t>
  </si>
  <si>
    <t>Придобиване на НДА</t>
  </si>
  <si>
    <t>53-00</t>
  </si>
  <si>
    <t>53-01</t>
  </si>
  <si>
    <t>53-09</t>
  </si>
  <si>
    <t>Придобиване на земя</t>
  </si>
  <si>
    <t>54-00</t>
  </si>
  <si>
    <t>Щатна численост общо:</t>
  </si>
  <si>
    <t>бр.</t>
  </si>
  <si>
    <t>Средногодишни щатни бройки:</t>
  </si>
  <si>
    <t>лв.</t>
  </si>
  <si>
    <t>Средна работна заплата ОБЩО:</t>
  </si>
  <si>
    <t>010111</t>
  </si>
  <si>
    <t>010112</t>
  </si>
  <si>
    <t>020211</t>
  </si>
  <si>
    <t>020212</t>
  </si>
  <si>
    <t>020511</t>
  </si>
  <si>
    <t>020512</t>
  </si>
  <si>
    <t>020513</t>
  </si>
  <si>
    <t>Материали БП "УРЕП"</t>
  </si>
  <si>
    <t>Код</t>
  </si>
  <si>
    <t>010113</t>
  </si>
  <si>
    <t>придобиване на друго оборудване и съоръжения БП/бюджетни програми</t>
  </si>
  <si>
    <t xml:space="preserve"> Основен ремонт на сгради</t>
  </si>
  <si>
    <t xml:space="preserve"> Основен ремонт на ДМА за учебна и почивна дейност</t>
  </si>
  <si>
    <t>придобиване на друго оборудване и съоръжения за учебна и почивна дейност</t>
  </si>
  <si>
    <t>придобиване на транспортни средства  за учебна и почивна дейност</t>
  </si>
  <si>
    <t>52-041</t>
  </si>
  <si>
    <t>52-042</t>
  </si>
  <si>
    <t>придобиване на стопански инвентар за учебна и почивна дейност</t>
  </si>
  <si>
    <t>изграждане на инфраструктурни обекти за учебна и почивна дейност</t>
  </si>
  <si>
    <t>придобиване на други ДМА за учебна и почивна дейност</t>
  </si>
  <si>
    <t>52-051</t>
  </si>
  <si>
    <t>52-052</t>
  </si>
  <si>
    <t>52-061</t>
  </si>
  <si>
    <t>52-062</t>
  </si>
  <si>
    <t>52-191</t>
  </si>
  <si>
    <t>52-192</t>
  </si>
  <si>
    <t>за учебна и почивна дейност</t>
  </si>
  <si>
    <t xml:space="preserve"> за учебна и почивна дейност</t>
  </si>
  <si>
    <t>10-122</t>
  </si>
  <si>
    <t>10-132</t>
  </si>
  <si>
    <t>10-142</t>
  </si>
  <si>
    <t>10-162</t>
  </si>
  <si>
    <t>10-112</t>
  </si>
  <si>
    <t>10-512</t>
  </si>
  <si>
    <t>10-522</t>
  </si>
  <si>
    <t>10-622</t>
  </si>
  <si>
    <t>10-922</t>
  </si>
  <si>
    <t>19-012</t>
  </si>
  <si>
    <t>19-812</t>
  </si>
  <si>
    <t>46-001</t>
  </si>
  <si>
    <t>§</t>
  </si>
  <si>
    <t>Заплати:</t>
  </si>
  <si>
    <t>Бюджетна прогноза 2027 г.</t>
  </si>
  <si>
    <t>Заплати и възнаграждения на персонала нает по трудови правоотношения магистрати/инспектори/членове на ВСС</t>
  </si>
  <si>
    <t>Заплати и възнаграждения на персонала нает по трудови правоотношения - съдебни служители</t>
  </si>
  <si>
    <t>Заплати и възнаграждения на персонала нает по трудови правоотношения - специфични длъжности УБ</t>
  </si>
  <si>
    <t>РАЗЧЕТИ</t>
  </si>
  <si>
    <t>на</t>
  </si>
  <si>
    <t>/орган на съдебната власт/</t>
  </si>
  <si>
    <t>Други възнаграждения и плащания на персонала</t>
  </si>
  <si>
    <t>за нещатен персонал по трудови правоотношения</t>
  </si>
  <si>
    <t>за персонал по извънтрудови правоотношения - ВЛ, СЗ и граждански договори</t>
  </si>
  <si>
    <t>За персонал по извънтрудови правоотношения-граждански договори</t>
  </si>
  <si>
    <t>за персонал по извънтрудови правоотношения -  съдебни служители</t>
  </si>
  <si>
    <t>За персонал по извънтрудови правоотношения-съдебни заседатели</t>
  </si>
  <si>
    <t>За персонала по извънтрудови правоотношения - вещи лица</t>
  </si>
  <si>
    <t>Изплатени суми за облекло - съдебни служители</t>
  </si>
  <si>
    <t>Обезщетения на персонала с характер на възнаграждение - специфични длъжности УБ</t>
  </si>
  <si>
    <t>Други плащания и възнаграждения</t>
  </si>
  <si>
    <t>Други плащания и възнаграждения - магистрати/инспектори/членове на ВСС</t>
  </si>
  <si>
    <t>Изплатени суми за облекло - магистрати/инспектори/членове на ВСС</t>
  </si>
  <si>
    <t>Обезщетения на персонала с характер на възнаграждение - магистрати/инспектори/членове на ВСС</t>
  </si>
  <si>
    <t>за персонал по извънтрудови правоотношения -  магистрати/инспектори/членове на ВСС</t>
  </si>
  <si>
    <t>Други плащания и възнаграждения - съдебни служители</t>
  </si>
  <si>
    <t>Други плащания и възнаграждения - специфични длъжности УБ</t>
  </si>
  <si>
    <t>Осигурителни вноски от работодателя за ДОО</t>
  </si>
  <si>
    <t>Осигурителни вноски от работодателя за ДОО - магистрати/инспектори/членове на ВСС</t>
  </si>
  <si>
    <t>Осигурителни вноски от работодателя за ДОО - съдебни служители</t>
  </si>
  <si>
    <t>Осигурителни вноски от работодателя за ДОО - специфични длъжности УБ</t>
  </si>
  <si>
    <t>Здравно-осигурителни вноски от работодатели</t>
  </si>
  <si>
    <t>Здравно-осигурителни вноски от работодатели - магистрати/инспектори/членове на ВСС</t>
  </si>
  <si>
    <t>Здравно-осигурителни вноски от работодатели - съдебни служители</t>
  </si>
  <si>
    <t>Здравно-осигурителни вноски от работодатели - специфични длъжности УБ</t>
  </si>
  <si>
    <t>Вноски за допълнително задължително осигуряване  /ДЗПО/</t>
  </si>
  <si>
    <t>ДЗПО  магистрати/инспектори/членове на ВСС</t>
  </si>
  <si>
    <t>ДЗПО - съдебни служители</t>
  </si>
  <si>
    <t>ДЗПО - специфични длъжности УБ</t>
  </si>
  <si>
    <t>Изплатени суми за облекло - специфични длъжности УБ</t>
  </si>
  <si>
    <t>материали - учебна и почивна дейност</t>
  </si>
  <si>
    <t>постелен инвентар и облекло за учебна и почивна дейност</t>
  </si>
  <si>
    <t>Материали</t>
  </si>
  <si>
    <t xml:space="preserve">Вода, горива и енергия </t>
  </si>
  <si>
    <t>Разходи за външни услуги</t>
  </si>
  <si>
    <t>Командировки в страната</t>
  </si>
  <si>
    <t>Разходи за застраховки</t>
  </si>
  <si>
    <t>Други разходи за СБКО (тук се планират разходите за СБКО)</t>
  </si>
  <si>
    <t>придобиване на компютри и хардуер - програма "УРЕП"</t>
  </si>
  <si>
    <t>придобиване на друго оборудване и съоръжения - програма "УРЕП"</t>
  </si>
  <si>
    <t>Разходи за поддръжка на софтуер - програма "УРЕП"</t>
  </si>
  <si>
    <t xml:space="preserve"> Разходи за поддръжка на хардуер - програма "УРЕП"</t>
  </si>
  <si>
    <t>V.</t>
  </si>
  <si>
    <t>VI.</t>
  </si>
  <si>
    <t>VII.</t>
  </si>
  <si>
    <t>VІII.</t>
  </si>
  <si>
    <t>X.</t>
  </si>
  <si>
    <t>Натурални показатели</t>
  </si>
  <si>
    <t>придобиване на прогр.продукти и лицензи за програмни продукти - БП "УРЕП"</t>
  </si>
  <si>
    <t>придобиване на други НДА - БП "УРЕП"</t>
  </si>
  <si>
    <t xml:space="preserve">   в т.ч. : магистрати /вкл. съдия изпълнители и съдии по вписванията/</t>
  </si>
  <si>
    <t>код №</t>
  </si>
  <si>
    <t xml:space="preserve">   в т.ч. служители в учебни и почивни бази /ВАС, ВКС и ПРБ/</t>
  </si>
  <si>
    <t>за магистрати/инспектори/членове на ВСС</t>
  </si>
  <si>
    <t>за съдебни служители</t>
  </si>
  <si>
    <t>10-111-1</t>
  </si>
  <si>
    <t>10-111-2</t>
  </si>
  <si>
    <t>10-121-1</t>
  </si>
  <si>
    <t>10-121-2</t>
  </si>
  <si>
    <t>10-131-1</t>
  </si>
  <si>
    <t>10-131-2</t>
  </si>
  <si>
    <t xml:space="preserve">   в т.ч. : съдебни служители</t>
  </si>
  <si>
    <t xml:space="preserve">   в т.ч.: съдебни служители</t>
  </si>
  <si>
    <t xml:space="preserve">   в т.ч. : за съдебни служители</t>
  </si>
  <si>
    <t>10-141-1</t>
  </si>
  <si>
    <t>10-141-2</t>
  </si>
  <si>
    <t>10-151</t>
  </si>
  <si>
    <t>10-152-1</t>
  </si>
  <si>
    <t>10-152-2</t>
  </si>
  <si>
    <t>10-153</t>
  </si>
  <si>
    <t>Материали по §10-15 без БП "УРЕП"</t>
  </si>
  <si>
    <t>10-161-1</t>
  </si>
  <si>
    <t>10-161-2</t>
  </si>
  <si>
    <t>1020012-1</t>
  </si>
  <si>
    <t>1020012-2</t>
  </si>
  <si>
    <t>Разходи за пощенски и телекомуникационни услуги по §10-20 без БП "УРЕП"</t>
  </si>
  <si>
    <t>1020022-1</t>
  </si>
  <si>
    <t>1020022-2</t>
  </si>
  <si>
    <t>1020031-1</t>
  </si>
  <si>
    <t>1020031-2</t>
  </si>
  <si>
    <t>1020091-1</t>
  </si>
  <si>
    <t>1020091-2</t>
  </si>
  <si>
    <t>103011-1</t>
  </si>
  <si>
    <t>103011-2</t>
  </si>
  <si>
    <t>103021-1</t>
  </si>
  <si>
    <t>103021-2</t>
  </si>
  <si>
    <t>103031-1</t>
  </si>
  <si>
    <t>103031-2</t>
  </si>
  <si>
    <t>10-511-1</t>
  </si>
  <si>
    <t>10-511-2</t>
  </si>
  <si>
    <t>10-521-1</t>
  </si>
  <si>
    <t>10-521-2</t>
  </si>
  <si>
    <t>10-621-1</t>
  </si>
  <si>
    <t>10-621-2</t>
  </si>
  <si>
    <t>10-911-1</t>
  </si>
  <si>
    <t>10-911-2</t>
  </si>
  <si>
    <t>10-912</t>
  </si>
  <si>
    <t>10-921-1</t>
  </si>
  <si>
    <t>10-921-2</t>
  </si>
  <si>
    <t>1098011-1</t>
  </si>
  <si>
    <t>1098011-2</t>
  </si>
  <si>
    <t>1098021-1</t>
  </si>
  <si>
    <t>1098021-2</t>
  </si>
  <si>
    <t>19-011-1</t>
  </si>
  <si>
    <t>19-011-2</t>
  </si>
  <si>
    <t>19-811-1</t>
  </si>
  <si>
    <t>19-811-2</t>
  </si>
  <si>
    <t xml:space="preserve"> Изплатени суми за СБКО</t>
  </si>
  <si>
    <t>02052</t>
  </si>
  <si>
    <t>Изплатени суми за СБКО - магистрати/инспектори/членове на ВСС</t>
  </si>
  <si>
    <t>Изплатени суми за СБКО - съдебни служители</t>
  </si>
  <si>
    <t>Изплатени суми за СБКО - специфични длъжности УБ</t>
  </si>
  <si>
    <t>Други</t>
  </si>
  <si>
    <t>02053</t>
  </si>
  <si>
    <t>020521</t>
  </si>
  <si>
    <t>020522</t>
  </si>
  <si>
    <t>020523</t>
  </si>
  <si>
    <t>020531</t>
  </si>
  <si>
    <t>020532</t>
  </si>
  <si>
    <t>020533</t>
  </si>
  <si>
    <t>Други - магистрати/инспектори/членове на ВСС</t>
  </si>
  <si>
    <t>Други - съдебни служители</t>
  </si>
  <si>
    <t>Други - специфични длъжности УБ</t>
  </si>
  <si>
    <t>за нещатен персонал по трудови правоотношения - съдебни служители</t>
  </si>
  <si>
    <t>01.01.01.P;  01.02.01.P;02.01.01.P;02.02.01.P;02.03.01.P;03.01.01.P;</t>
  </si>
  <si>
    <t>02.01.04.P;02.02.04.P;03.01.04.P;</t>
  </si>
  <si>
    <t>02.01.01.P;02.02.01.P;02.03.01.P</t>
  </si>
  <si>
    <t>Обезщетения на персонала с характер на възнаграждение - съдебни служители</t>
  </si>
  <si>
    <t>01.01.01.I;  01.02.01.I;02.01.01.I;02.02.01.I;02.03.01.I;03.01.01.I;</t>
  </si>
  <si>
    <t>02.01.04.I;02.02.04.I;03.01.04.I;</t>
  </si>
  <si>
    <t>04.01.01.I</t>
  </si>
  <si>
    <t>02.01.01.I;02.02.01.I;02.03.01.I;03.01.01.I;</t>
  </si>
  <si>
    <t>1020101-1</t>
  </si>
  <si>
    <t>1020101-2</t>
  </si>
  <si>
    <t>06.01.01.</t>
  </si>
  <si>
    <t>06.01.02.</t>
  </si>
  <si>
    <t>06.01.03.</t>
  </si>
  <si>
    <t>06.01.04.</t>
  </si>
  <si>
    <t>06.02.01.</t>
  </si>
  <si>
    <t>06.02.02.</t>
  </si>
  <si>
    <t>06.02.03.</t>
  </si>
  <si>
    <t>06.02.04.</t>
  </si>
  <si>
    <r>
      <t>Платени данъци, такси и админ. санкции</t>
    </r>
    <r>
      <rPr>
        <b/>
        <sz val="10"/>
        <color indexed="10"/>
        <rFont val="Times Bold Italic"/>
        <family val="1"/>
      </rPr>
      <t xml:space="preserve"> </t>
    </r>
  </si>
  <si>
    <t>2.1.</t>
  </si>
  <si>
    <t>1.</t>
  </si>
  <si>
    <t>2.</t>
  </si>
  <si>
    <t>2.2.</t>
  </si>
  <si>
    <t>2.3.</t>
  </si>
  <si>
    <t>3.</t>
  </si>
  <si>
    <t>3.1.</t>
  </si>
  <si>
    <t>3.2.</t>
  </si>
  <si>
    <t>3.3.</t>
  </si>
  <si>
    <t>4.</t>
  </si>
  <si>
    <t>5.</t>
  </si>
  <si>
    <t>ІV.</t>
  </si>
  <si>
    <t>6.</t>
  </si>
  <si>
    <t>7.1.</t>
  </si>
  <si>
    <t>7.2.</t>
  </si>
  <si>
    <t>7.3.</t>
  </si>
  <si>
    <t>7.4.</t>
  </si>
  <si>
    <t>7.5.</t>
  </si>
  <si>
    <t>7.6.</t>
  </si>
  <si>
    <t>7.7.</t>
  </si>
  <si>
    <t>7.8.</t>
  </si>
  <si>
    <t>7.9.</t>
  </si>
  <si>
    <t>7.10.</t>
  </si>
  <si>
    <t>8.</t>
  </si>
  <si>
    <t>8.1.</t>
  </si>
  <si>
    <t>8.2.</t>
  </si>
  <si>
    <t>8.3.</t>
  </si>
  <si>
    <t>9.</t>
  </si>
  <si>
    <t>10.</t>
  </si>
  <si>
    <t>Краткосрочни командировки в чужбина</t>
  </si>
  <si>
    <t>11.</t>
  </si>
  <si>
    <t>12.</t>
  </si>
  <si>
    <t>13.</t>
  </si>
  <si>
    <t>Други финансови услуги /вкл.НИП/</t>
  </si>
  <si>
    <t>14.</t>
  </si>
  <si>
    <t>15.</t>
  </si>
  <si>
    <t>Разходи за дог.санкции и неустойки съдебни обезщетения и разноски</t>
  </si>
  <si>
    <t>16.</t>
  </si>
  <si>
    <t>16.1.</t>
  </si>
  <si>
    <t>16.2.</t>
  </si>
  <si>
    <t>7.</t>
  </si>
  <si>
    <t xml:space="preserve">за нещатен персонал по трудови правоотношения - БП "ОУСВ" </t>
  </si>
  <si>
    <t>01.01.01.P;05.01.01.P</t>
  </si>
  <si>
    <t>02012</t>
  </si>
  <si>
    <t>02011</t>
  </si>
  <si>
    <t>01.01.02.P;01.02.02.P;02.01.02.P;02.02.02.P;02.03.02.P;03.01.02.P;05.01.01.P</t>
  </si>
  <si>
    <t>02081</t>
  </si>
  <si>
    <t>02082</t>
  </si>
  <si>
    <t>02083</t>
  </si>
  <si>
    <t>02091</t>
  </si>
  <si>
    <t>02092</t>
  </si>
  <si>
    <t>02093</t>
  </si>
  <si>
    <t>05511</t>
  </si>
  <si>
    <t>05512</t>
  </si>
  <si>
    <t>05513</t>
  </si>
  <si>
    <t>05601</t>
  </si>
  <si>
    <t>05602</t>
  </si>
  <si>
    <t>05603</t>
  </si>
  <si>
    <t>05801</t>
  </si>
  <si>
    <t>05802</t>
  </si>
  <si>
    <t>05803</t>
  </si>
  <si>
    <t>01.01.02.I;01.02.02.I;02.01.02.I;02.02.02.I;02.03.02.I;03.01.02.I;05.01.01.I</t>
  </si>
  <si>
    <t xml:space="preserve">Разходи за отпечатване на ваучери </t>
  </si>
  <si>
    <r>
      <t>01.01.01.I;  01.02.01.I;02.01.01.I;02.02.01.I;02.03.01.I;03.01.01.I</t>
    </r>
    <r>
      <rPr>
        <sz val="10"/>
        <color indexed="10"/>
        <rFont val="Times Bold Italic"/>
        <family val="1"/>
      </rPr>
      <t>;</t>
    </r>
    <r>
      <rPr>
        <sz val="10"/>
        <rFont val="Times Bold Italic"/>
        <family val="1"/>
      </rPr>
      <t>05.01.01.I</t>
    </r>
  </si>
  <si>
    <t>01.01.01.I;  01.02.01.I;02.01.01.I;02.02.01.I;02.03.01.I;03.01.01.I;05.01.01.I</t>
  </si>
  <si>
    <t>01.01.01.I;  01.02.01.I;02.01.01.I;02.02.01.I;03.01.01.I;05.01.01.I</t>
  </si>
  <si>
    <t>При попълване на информацията числата следва да бъдат закръглени до стотици. Например 1 257 142 лв. следва да се посоки като 1 257 100 лв.</t>
  </si>
  <si>
    <t xml:space="preserve">на </t>
  </si>
  <si>
    <t xml:space="preserve">Международна организация </t>
  </si>
  <si>
    <t>Нормативно основание</t>
  </si>
  <si>
    <t>2025 г.</t>
  </si>
  <si>
    <t>2026 г.</t>
  </si>
  <si>
    <t xml:space="preserve">Валута </t>
  </si>
  <si>
    <t xml:space="preserve">Размер на членския внос </t>
  </si>
  <si>
    <t>Левова равностойност</t>
  </si>
  <si>
    <t>Общо</t>
  </si>
  <si>
    <t>Изготвил:</t>
  </si>
  <si>
    <t>Адм. ръководител:</t>
  </si>
  <si>
    <t>Справка за обезщетенията при пенсиониране и напускане на магистрати и съдебни служители</t>
  </si>
  <si>
    <t>Брой магистрати, съдия изпълнители, съдии по вписванията и съдебни служители, на които следва да се изплати обещетение</t>
  </si>
  <si>
    <t>Сума на обезщетението общо (пар.02-08) (лв.)</t>
  </si>
  <si>
    <t>В т.ч.за неизползвани отпуски (лв.)</t>
  </si>
  <si>
    <t>Общо, в т.ч.:</t>
  </si>
  <si>
    <t xml:space="preserve">  - магистрати </t>
  </si>
  <si>
    <t xml:space="preserve">  - съдия изпълнители</t>
  </si>
  <si>
    <t xml:space="preserve">  - съдии по вписванията</t>
  </si>
  <si>
    <t xml:space="preserve">  - съдебни служители</t>
  </si>
  <si>
    <t xml:space="preserve">през 2025 г. </t>
  </si>
  <si>
    <t>Забележка:</t>
  </si>
  <si>
    <t>При попълване на информацията числата следва да бъдат закръглени до стотици. Например: 1 257 142 лв. следва да се посоки като 1 257 100 лв.</t>
  </si>
  <si>
    <t xml:space="preserve">                                 (……………………….)</t>
  </si>
  <si>
    <t>/………………………………../</t>
  </si>
  <si>
    <t>Сумите за обезщетения за 2025 г. трябва да са равни на стойностите от Приложение 1</t>
  </si>
  <si>
    <t>2027 г.</t>
  </si>
  <si>
    <t>име и телефон</t>
  </si>
  <si>
    <t>Административен ръководител:</t>
  </si>
  <si>
    <t>телефон за връзка …………….</t>
  </si>
  <si>
    <t>телефон за връзка: ………………</t>
  </si>
  <si>
    <t xml:space="preserve">                    ………………..</t>
  </si>
  <si>
    <t>………………………….</t>
  </si>
  <si>
    <t>Бюджетна прогноза 2028 г.</t>
  </si>
  <si>
    <t>Разходи  БП "УРЕП"/напр.интернет, подновяване на електронни подписи и др./ - програма "УРЕП"</t>
  </si>
  <si>
    <t>2028 г.</t>
  </si>
  <si>
    <t xml:space="preserve">Справка за средствата по параграф 46-00 "Разходи за членски внос и участие в нетърговски организации и дейности" за проектобюджета за 2025 г. и актуализираните бюджетни прогнози за периода 2026, 2027 и 2028 г.  </t>
  </si>
  <si>
    <t>Приложение 2.1.</t>
  </si>
  <si>
    <t>Приложение 2.2.</t>
  </si>
  <si>
    <t>Приложение 2.3.</t>
  </si>
  <si>
    <t xml:space="preserve">Проектобюджет 2026 г. </t>
  </si>
  <si>
    <t>Бюджетна прогноза 2029 г.</t>
  </si>
  <si>
    <t>по проектобюджета 2026 г. и бюджетни прогнози за 2027, 2028 и 2029 г.</t>
  </si>
  <si>
    <t>01.01.02.P;01.02.02.P;02.01.02.P;02.02.02.P;02.03.02.P;03.01.02.P;</t>
  </si>
  <si>
    <t xml:space="preserve">04.01.01.K; </t>
  </si>
  <si>
    <t>01.01.03.K</t>
  </si>
  <si>
    <t>01.01.04.K; 01.02.03.K; 02.01.03.K;02.02.03.K;02.03.03.K; 03.01.03.K; 05.01.01.K</t>
  </si>
  <si>
    <t>02.01.04.K; 02.02.04.K; 03.01.04.K;</t>
  </si>
  <si>
    <t>01.01.04.K;01.02.03.K;02.01.03.K;02.02.03.K;02.03.03.K;03.01.03.K;05.01.01.K</t>
  </si>
  <si>
    <t>02.01.04.K;02.02.04.K; 03.01.04.K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</si>
</sst>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лв.&quot;"/>
  </numFmts>
  <fonts count="24">
    <font>
      <sz val="10"/>
      <name val="Arial"/>
    </font>
    <font>
      <i/>
      <sz val="11"/>
      <name val="Calibri"/>
      <family val="2"/>
      <charset val="204"/>
    </font>
    <font>
      <sz val="10"/>
      <name val="Arial"/>
      <family val="2"/>
      <charset val="204"/>
    </font>
    <font>
      <sz val="8"/>
      <name val="Arial"/>
      <family val="2"/>
      <charset val="204"/>
    </font>
    <font>
      <b/>
      <sz val="10"/>
      <name val="Times Bold Italic"/>
      <family val="1"/>
    </font>
    <font>
      <sz val="10"/>
      <name val="Times Bold Italic"/>
      <family val="1"/>
    </font>
    <font>
      <sz val="12"/>
      <name val="Times Bold Italic"/>
      <family val="1"/>
    </font>
    <font>
      <sz val="10"/>
      <color indexed="10"/>
      <name val="Times Bold Italic"/>
      <family val="1"/>
    </font>
    <font>
      <b/>
      <sz val="10"/>
      <color indexed="10"/>
      <name val="Times Bold Italic"/>
      <family val="1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color indexed="10"/>
      <name val="Arial"/>
      <family val="2"/>
      <charset val="204"/>
    </font>
    <font>
      <sz val="10"/>
      <color indexed="22"/>
      <name val="Arial"/>
      <family val="2"/>
      <charset val="204"/>
    </font>
    <font>
      <b/>
      <sz val="10"/>
      <name val="Times New Roman"/>
      <family val="1"/>
      <charset val="204"/>
    </font>
    <font>
      <b/>
      <sz val="11"/>
      <color indexed="10"/>
      <name val="Times New Roman"/>
      <family val="1"/>
      <charset val="204"/>
    </font>
    <font>
      <b/>
      <u/>
      <sz val="11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0"/>
      <name val="Times Bold Italic"/>
      <family val="1"/>
    </font>
    <font>
      <sz val="12"/>
      <color rgb="FFFF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10"/>
      <color theme="1"/>
      <name val="Times Bold Italic"/>
      <charset val="204"/>
    </font>
    <font>
      <b/>
      <sz val="10"/>
      <color theme="1"/>
      <name val="Times Bold Italic"/>
      <charset val="204"/>
    </font>
    <font>
      <sz val="10"/>
      <color theme="1"/>
      <name val="Times Bold Italic"/>
      <family val="1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157">
    <xf numFmtId="0" fontId="0" fillId="0" borderId="0" xfId="0"/>
    <xf numFmtId="0" fontId="0" fillId="5" borderId="0" xfId="0" applyFill="1"/>
    <xf numFmtId="0" fontId="0" fillId="5" borderId="0" xfId="0" applyFill="1" applyAlignment="1">
      <alignment horizontal="center"/>
    </xf>
    <xf numFmtId="0" fontId="2" fillId="5" borderId="0" xfId="0" applyFont="1" applyFill="1"/>
    <xf numFmtId="0" fontId="4" fillId="0" borderId="0" xfId="0" applyFont="1" applyAlignment="1">
      <alignment horizontal="center"/>
    </xf>
    <xf numFmtId="0" fontId="5" fillId="0" borderId="0" xfId="0" applyFont="1"/>
    <xf numFmtId="0" fontId="5" fillId="6" borderId="1" xfId="0" applyFont="1" applyFill="1" applyBorder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7" borderId="2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4" fontId="5" fillId="0" borderId="4" xfId="0" applyNumberFormat="1" applyFont="1" applyBorder="1" applyAlignment="1">
      <alignment horizontal="right" vertical="top" wrapText="1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center" vertical="top" wrapText="1"/>
    </xf>
    <xf numFmtId="4" fontId="5" fillId="7" borderId="4" xfId="0" applyNumberFormat="1" applyFont="1" applyFill="1" applyBorder="1" applyAlignment="1">
      <alignment horizontal="right" vertical="top" wrapText="1"/>
    </xf>
    <xf numFmtId="0" fontId="5" fillId="5" borderId="2" xfId="0" applyFont="1" applyFill="1" applyBorder="1" applyAlignment="1">
      <alignment horizontal="left" vertical="top" wrapText="1"/>
    </xf>
    <xf numFmtId="49" fontId="5" fillId="5" borderId="3" xfId="0" applyNumberFormat="1" applyFont="1" applyFill="1" applyBorder="1" applyAlignment="1">
      <alignment horizontal="center" vertical="top" wrapText="1"/>
    </xf>
    <xf numFmtId="0" fontId="5" fillId="5" borderId="5" xfId="0" applyFont="1" applyFill="1" applyBorder="1" applyAlignment="1">
      <alignment horizontal="left" vertical="top" wrapText="1"/>
    </xf>
    <xf numFmtId="0" fontId="5" fillId="5" borderId="3" xfId="0" applyFont="1" applyFill="1" applyBorder="1" applyAlignment="1">
      <alignment horizontal="center" vertical="top" wrapText="1"/>
    </xf>
    <xf numFmtId="0" fontId="5" fillId="5" borderId="2" xfId="0" applyFont="1" applyFill="1" applyBorder="1" applyAlignment="1">
      <alignment horizontal="left" vertical="center" wrapText="1"/>
    </xf>
    <xf numFmtId="0" fontId="5" fillId="5" borderId="3" xfId="0" applyFont="1" applyFill="1" applyBorder="1" applyAlignment="1">
      <alignment horizontal="left" vertical="top" wrapText="1"/>
    </xf>
    <xf numFmtId="0" fontId="5" fillId="0" borderId="2" xfId="0" applyFont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3" xfId="0" applyFont="1" applyFill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7" borderId="3" xfId="0" applyFont="1" applyFill="1" applyBorder="1" applyAlignment="1">
      <alignment horizontal="left" vertical="top" wrapText="1"/>
    </xf>
    <xf numFmtId="0" fontId="5" fillId="5" borderId="6" xfId="0" applyFont="1" applyFill="1" applyBorder="1" applyAlignment="1">
      <alignment horizontal="center" vertical="top" wrapText="1"/>
    </xf>
    <xf numFmtId="0" fontId="5" fillId="5" borderId="7" xfId="0" applyFont="1" applyFill="1" applyBorder="1" applyAlignment="1">
      <alignment horizontal="left" vertical="top" wrapText="1"/>
    </xf>
    <xf numFmtId="0" fontId="5" fillId="5" borderId="7" xfId="0" applyFont="1" applyFill="1" applyBorder="1" applyAlignment="1">
      <alignment horizontal="center" vertical="top" wrapText="1"/>
    </xf>
    <xf numFmtId="0" fontId="5" fillId="9" borderId="2" xfId="0" applyFont="1" applyFill="1" applyBorder="1" applyAlignment="1">
      <alignment horizontal="left" vertical="top" wrapText="1"/>
    </xf>
    <xf numFmtId="0" fontId="5" fillId="9" borderId="3" xfId="0" applyFont="1" applyFill="1" applyBorder="1" applyAlignment="1">
      <alignment horizontal="center" vertical="top" wrapText="1"/>
    </xf>
    <xf numFmtId="0" fontId="4" fillId="7" borderId="5" xfId="0" applyFont="1" applyFill="1" applyBorder="1" applyAlignment="1">
      <alignment horizontal="left" vertical="top" wrapText="1"/>
    </xf>
    <xf numFmtId="0" fontId="4" fillId="7" borderId="6" xfId="0" applyFont="1" applyFill="1" applyBorder="1" applyAlignment="1">
      <alignment horizontal="center" vertical="top" wrapText="1"/>
    </xf>
    <xf numFmtId="0" fontId="4" fillId="10" borderId="7" xfId="0" applyFont="1" applyFill="1" applyBorder="1" applyAlignment="1">
      <alignment horizontal="left" vertical="top" wrapText="1"/>
    </xf>
    <xf numFmtId="0" fontId="4" fillId="10" borderId="7" xfId="0" applyFont="1" applyFill="1" applyBorder="1" applyAlignment="1">
      <alignment horizontal="center" vertical="top" wrapText="1"/>
    </xf>
    <xf numFmtId="0" fontId="4" fillId="11" borderId="8" xfId="0" applyFont="1" applyFill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 vertical="top" wrapText="1"/>
    </xf>
    <xf numFmtId="0" fontId="5" fillId="10" borderId="2" xfId="0" applyFont="1" applyFill="1" applyBorder="1" applyAlignment="1">
      <alignment horizontal="left" vertical="top" wrapText="1"/>
    </xf>
    <xf numFmtId="0" fontId="5" fillId="10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center" vertical="top" wrapText="1"/>
    </xf>
    <xf numFmtId="0" fontId="5" fillId="7" borderId="2" xfId="0" applyFont="1" applyFill="1" applyBorder="1" applyAlignment="1">
      <alignment horizontal="right" vertical="top" wrapText="1"/>
    </xf>
    <xf numFmtId="0" fontId="5" fillId="0" borderId="2" xfId="0" applyFont="1" applyBorder="1" applyAlignment="1">
      <alignment horizontal="right" vertical="top" wrapText="1"/>
    </xf>
    <xf numFmtId="0" fontId="4" fillId="7" borderId="2" xfId="0" applyFont="1" applyFill="1" applyBorder="1" applyAlignment="1">
      <alignment horizontal="right" vertical="top" wrapText="1"/>
    </xf>
    <xf numFmtId="0" fontId="4" fillId="5" borderId="2" xfId="0" applyFont="1" applyFill="1" applyBorder="1" applyAlignment="1">
      <alignment horizontal="right" vertical="top" wrapText="1"/>
    </xf>
    <xf numFmtId="0" fontId="5" fillId="5" borderId="2" xfId="0" applyFont="1" applyFill="1" applyBorder="1" applyAlignment="1">
      <alignment horizontal="right" vertical="top" wrapText="1"/>
    </xf>
    <xf numFmtId="0" fontId="5" fillId="8" borderId="2" xfId="0" applyFont="1" applyFill="1" applyBorder="1" applyAlignment="1">
      <alignment horizontal="right" vertical="top" wrapText="1"/>
    </xf>
    <xf numFmtId="0" fontId="5" fillId="5" borderId="5" xfId="0" applyFont="1" applyFill="1" applyBorder="1" applyAlignment="1">
      <alignment horizontal="right" vertical="top" wrapText="1"/>
    </xf>
    <xf numFmtId="0" fontId="5" fillId="5" borderId="7" xfId="0" applyFont="1" applyFill="1" applyBorder="1" applyAlignment="1">
      <alignment horizontal="right" vertical="top" wrapText="1"/>
    </xf>
    <xf numFmtId="0" fontId="5" fillId="9" borderId="2" xfId="0" applyFont="1" applyFill="1" applyBorder="1" applyAlignment="1">
      <alignment horizontal="right" vertical="top" wrapText="1"/>
    </xf>
    <xf numFmtId="0" fontId="4" fillId="7" borderId="5" xfId="0" applyFont="1" applyFill="1" applyBorder="1" applyAlignment="1">
      <alignment horizontal="right" vertical="top" wrapText="1"/>
    </xf>
    <xf numFmtId="0" fontId="4" fillId="10" borderId="7" xfId="0" applyFont="1" applyFill="1" applyBorder="1" applyAlignment="1">
      <alignment horizontal="right" vertical="top" wrapText="1"/>
    </xf>
    <xf numFmtId="0" fontId="4" fillId="11" borderId="8" xfId="0" applyFont="1" applyFill="1" applyBorder="1" applyAlignment="1">
      <alignment horizontal="right" vertical="top" wrapText="1"/>
    </xf>
    <xf numFmtId="0" fontId="5" fillId="10" borderId="2" xfId="0" applyFont="1" applyFill="1" applyBorder="1" applyAlignment="1">
      <alignment horizontal="right" vertical="top" wrapText="1"/>
    </xf>
    <xf numFmtId="0" fontId="4" fillId="0" borderId="2" xfId="0" applyFont="1" applyBorder="1" applyAlignment="1">
      <alignment horizontal="right" vertical="top" wrapText="1"/>
    </xf>
    <xf numFmtId="0" fontId="4" fillId="0" borderId="3" xfId="0" applyFont="1" applyBorder="1" applyAlignment="1">
      <alignment horizontal="center" vertical="top" wrapText="1"/>
    </xf>
    <xf numFmtId="49" fontId="4" fillId="5" borderId="3" xfId="0" applyNumberFormat="1" applyFont="1" applyFill="1" applyBorder="1" applyAlignment="1">
      <alignment horizontal="center" vertical="top" wrapText="1"/>
    </xf>
    <xf numFmtId="0" fontId="4" fillId="8" borderId="2" xfId="0" applyFont="1" applyFill="1" applyBorder="1" applyAlignment="1">
      <alignment horizontal="right" vertical="top" wrapText="1"/>
    </xf>
    <xf numFmtId="0" fontId="4" fillId="8" borderId="2" xfId="0" applyFont="1" applyFill="1" applyBorder="1" applyAlignment="1">
      <alignment horizontal="left" vertical="top" wrapText="1"/>
    </xf>
    <xf numFmtId="0" fontId="4" fillId="8" borderId="3" xfId="0" applyFont="1" applyFill="1" applyBorder="1" applyAlignment="1">
      <alignment horizontal="center" vertical="top" wrapText="1"/>
    </xf>
    <xf numFmtId="4" fontId="5" fillId="5" borderId="7" xfId="0" applyNumberFormat="1" applyFont="1" applyFill="1" applyBorder="1" applyAlignment="1">
      <alignment vertical="top" wrapText="1"/>
    </xf>
    <xf numFmtId="49" fontId="4" fillId="10" borderId="7" xfId="0" applyNumberFormat="1" applyFont="1" applyFill="1" applyBorder="1" applyAlignment="1">
      <alignment vertical="top" wrapText="1"/>
    </xf>
    <xf numFmtId="49" fontId="5" fillId="5" borderId="7" xfId="0" applyNumberFormat="1" applyFont="1" applyFill="1" applyBorder="1" applyAlignment="1">
      <alignment vertical="top" wrapText="1"/>
    </xf>
    <xf numFmtId="4" fontId="5" fillId="10" borderId="7" xfId="0" applyNumberFormat="1" applyFont="1" applyFill="1" applyBorder="1" applyAlignment="1">
      <alignment vertical="top" wrapText="1"/>
    </xf>
    <xf numFmtId="164" fontId="0" fillId="5" borderId="0" xfId="0" applyNumberFormat="1" applyFill="1" applyAlignment="1">
      <alignment horizontal="center" wrapText="1"/>
    </xf>
    <xf numFmtId="0" fontId="5" fillId="5" borderId="7" xfId="0" applyFont="1" applyFill="1" applyBorder="1" applyAlignment="1">
      <alignment vertical="top" wrapText="1"/>
    </xf>
    <xf numFmtId="4" fontId="4" fillId="7" borderId="7" xfId="0" applyNumberFormat="1" applyFont="1" applyFill="1" applyBorder="1" applyAlignment="1">
      <alignment vertical="top" wrapText="1"/>
    </xf>
    <xf numFmtId="4" fontId="18" fillId="5" borderId="7" xfId="0" applyNumberFormat="1" applyFont="1" applyFill="1" applyBorder="1" applyAlignment="1">
      <alignment vertical="top" wrapText="1"/>
    </xf>
    <xf numFmtId="4" fontId="5" fillId="0" borderId="7" xfId="0" applyNumberFormat="1" applyFont="1" applyBorder="1" applyAlignment="1">
      <alignment vertical="top" wrapText="1"/>
    </xf>
    <xf numFmtId="49" fontId="5" fillId="8" borderId="7" xfId="0" applyNumberFormat="1" applyFont="1" applyFill="1" applyBorder="1" applyAlignment="1">
      <alignment vertical="top" wrapText="1"/>
    </xf>
    <xf numFmtId="4" fontId="5" fillId="7" borderId="7" xfId="0" applyNumberFormat="1" applyFont="1" applyFill="1" applyBorder="1" applyAlignment="1">
      <alignment vertical="top" wrapText="1"/>
    </xf>
    <xf numFmtId="49" fontId="4" fillId="7" borderId="7" xfId="0" applyNumberFormat="1" applyFont="1" applyFill="1" applyBorder="1" applyAlignment="1">
      <alignment vertical="top" wrapText="1"/>
    </xf>
    <xf numFmtId="49" fontId="4" fillId="11" borderId="7" xfId="0" applyNumberFormat="1" applyFont="1" applyFill="1" applyBorder="1" applyAlignment="1">
      <alignment vertical="top" wrapText="1"/>
    </xf>
    <xf numFmtId="3" fontId="4" fillId="0" borderId="0" xfId="0" applyNumberFormat="1" applyFont="1" applyAlignment="1">
      <alignment horizontal="center"/>
    </xf>
    <xf numFmtId="3" fontId="4" fillId="11" borderId="10" xfId="0" applyNumberFormat="1" applyFont="1" applyFill="1" applyBorder="1"/>
    <xf numFmtId="3" fontId="4" fillId="0" borderId="0" xfId="0" applyNumberFormat="1" applyFont="1" applyAlignment="1">
      <alignment horizontal="right"/>
    </xf>
    <xf numFmtId="3" fontId="5" fillId="0" borderId="0" xfId="0" applyNumberFormat="1" applyFont="1" applyAlignment="1">
      <alignment horizontal="center"/>
    </xf>
    <xf numFmtId="3" fontId="5" fillId="7" borderId="7" xfId="0" applyNumberFormat="1" applyFont="1" applyFill="1" applyBorder="1" applyAlignment="1">
      <alignment horizontal="center" vertical="center" wrapText="1"/>
    </xf>
    <xf numFmtId="3" fontId="4" fillId="0" borderId="7" xfId="0" applyNumberFormat="1" applyFont="1" applyBorder="1" applyAlignment="1">
      <alignment horizontal="right" vertical="top" wrapText="1"/>
    </xf>
    <xf numFmtId="3" fontId="4" fillId="7" borderId="7" xfId="0" applyNumberFormat="1" applyFont="1" applyFill="1" applyBorder="1" applyAlignment="1">
      <alignment horizontal="right" vertical="top" wrapText="1"/>
    </xf>
    <xf numFmtId="3" fontId="5" fillId="5" borderId="7" xfId="0" applyNumberFormat="1" applyFont="1" applyFill="1" applyBorder="1" applyAlignment="1">
      <alignment horizontal="right" vertical="top" wrapText="1"/>
    </xf>
    <xf numFmtId="3" fontId="4" fillId="5" borderId="7" xfId="0" applyNumberFormat="1" applyFont="1" applyFill="1" applyBorder="1" applyAlignment="1">
      <alignment horizontal="right" vertical="top" wrapText="1"/>
    </xf>
    <xf numFmtId="3" fontId="5" fillId="0" borderId="7" xfId="0" applyNumberFormat="1" applyFont="1" applyBorder="1" applyAlignment="1">
      <alignment horizontal="right" vertical="top" wrapText="1"/>
    </xf>
    <xf numFmtId="3" fontId="4" fillId="10" borderId="7" xfId="0" applyNumberFormat="1" applyFont="1" applyFill="1" applyBorder="1" applyAlignment="1">
      <alignment horizontal="right" vertical="top" wrapText="1"/>
    </xf>
    <xf numFmtId="3" fontId="4" fillId="11" borderId="11" xfId="0" applyNumberFormat="1" applyFont="1" applyFill="1" applyBorder="1" applyAlignment="1">
      <alignment horizontal="right" vertical="top" wrapText="1"/>
    </xf>
    <xf numFmtId="3" fontId="5" fillId="10" borderId="7" xfId="0" applyNumberFormat="1" applyFont="1" applyFill="1" applyBorder="1" applyAlignment="1">
      <alignment horizontal="right" vertical="top" wrapText="1"/>
    </xf>
    <xf numFmtId="3" fontId="0" fillId="0" borderId="0" xfId="0" applyNumberFormat="1"/>
    <xf numFmtId="0" fontId="2" fillId="0" borderId="0" xfId="1"/>
    <xf numFmtId="49" fontId="19" fillId="0" borderId="0" xfId="1" applyNumberFormat="1" applyFont="1"/>
    <xf numFmtId="0" fontId="2" fillId="0" borderId="0" xfId="1" applyAlignment="1">
      <alignment horizontal="center"/>
    </xf>
    <xf numFmtId="2" fontId="2" fillId="0" borderId="7" xfId="1" applyNumberFormat="1" applyBorder="1" applyAlignment="1">
      <alignment horizontal="center" vertical="center" wrapText="1"/>
    </xf>
    <xf numFmtId="0" fontId="9" fillId="3" borderId="7" xfId="1" applyFont="1" applyFill="1" applyBorder="1" applyAlignment="1">
      <alignment horizontal="center"/>
    </xf>
    <xf numFmtId="0" fontId="9" fillId="3" borderId="7" xfId="1" applyFont="1" applyFill="1" applyBorder="1" applyAlignment="1">
      <alignment horizontal="right"/>
    </xf>
    <xf numFmtId="0" fontId="2" fillId="0" borderId="7" xfId="1" applyBorder="1" applyAlignment="1" applyProtection="1">
      <alignment horizontal="left" wrapText="1"/>
      <protection locked="0"/>
    </xf>
    <xf numFmtId="0" fontId="9" fillId="0" borderId="0" xfId="1" applyFont="1" applyAlignment="1">
      <alignment wrapText="1"/>
    </xf>
    <xf numFmtId="0" fontId="2" fillId="0" borderId="0" xfId="1" applyProtection="1">
      <protection locked="0"/>
    </xf>
    <xf numFmtId="0" fontId="9" fillId="0" borderId="0" xfId="1" applyFont="1" applyProtection="1">
      <protection locked="0"/>
    </xf>
    <xf numFmtId="0" fontId="10" fillId="0" borderId="0" xfId="1" applyFont="1" applyProtection="1">
      <protection locked="0"/>
    </xf>
    <xf numFmtId="0" fontId="2" fillId="0" borderId="0" xfId="1" applyAlignment="1" applyProtection="1">
      <alignment horizontal="center"/>
      <protection locked="0"/>
    </xf>
    <xf numFmtId="0" fontId="11" fillId="0" borderId="0" xfId="1" applyFont="1"/>
    <xf numFmtId="0" fontId="12" fillId="3" borderId="12" xfId="1" applyFont="1" applyFill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0" fontId="9" fillId="0" borderId="16" xfId="1" applyFont="1" applyBorder="1" applyAlignment="1">
      <alignment horizontal="center" vertical="center" wrapText="1"/>
    </xf>
    <xf numFmtId="0" fontId="2" fillId="0" borderId="15" xfId="1" applyBorder="1"/>
    <xf numFmtId="3" fontId="9" fillId="2" borderId="7" xfId="1" applyNumberFormat="1" applyFont="1" applyFill="1" applyBorder="1"/>
    <xf numFmtId="3" fontId="9" fillId="2" borderId="16" xfId="1" applyNumberFormat="1" applyFont="1" applyFill="1" applyBorder="1"/>
    <xf numFmtId="3" fontId="2" fillId="0" borderId="15" xfId="1" applyNumberFormat="1" applyBorder="1" applyAlignment="1" applyProtection="1">
      <alignment horizontal="left"/>
      <protection locked="0"/>
    </xf>
    <xf numFmtId="3" fontId="2" fillId="0" borderId="7" xfId="1" applyNumberFormat="1" applyBorder="1" applyAlignment="1" applyProtection="1">
      <alignment horizontal="right"/>
      <protection locked="0"/>
    </xf>
    <xf numFmtId="3" fontId="2" fillId="0" borderId="17" xfId="1" applyNumberFormat="1" applyBorder="1" applyAlignment="1" applyProtection="1">
      <alignment horizontal="left"/>
      <protection locked="0"/>
    </xf>
    <xf numFmtId="0" fontId="9" fillId="0" borderId="0" xfId="1" applyFont="1" applyAlignment="1" applyProtection="1">
      <alignment horizontal="justify" vertical="justify" wrapText="1"/>
      <protection locked="0"/>
    </xf>
    <xf numFmtId="0" fontId="2" fillId="0" borderId="0" xfId="1" applyAlignment="1" applyProtection="1">
      <alignment horizontal="justify" vertical="justify" wrapText="1"/>
      <protection locked="0"/>
    </xf>
    <xf numFmtId="0" fontId="13" fillId="0" borderId="0" xfId="0" applyFont="1" applyAlignment="1">
      <alignment horizontal="right"/>
    </xf>
    <xf numFmtId="0" fontId="15" fillId="0" borderId="0" xfId="1" applyFont="1" applyProtection="1">
      <protection locked="0"/>
    </xf>
    <xf numFmtId="0" fontId="2" fillId="0" borderId="0" xfId="1" applyAlignment="1">
      <alignment horizontal="right"/>
    </xf>
    <xf numFmtId="0" fontId="2" fillId="0" borderId="0" xfId="1" applyAlignment="1">
      <alignment horizontal="left"/>
    </xf>
    <xf numFmtId="0" fontId="9" fillId="0" borderId="0" xfId="0" applyFont="1" applyAlignment="1">
      <alignment horizontal="right"/>
    </xf>
    <xf numFmtId="0" fontId="9" fillId="0" borderId="0" xfId="1" applyFont="1" applyAlignment="1">
      <alignment horizontal="right"/>
    </xf>
    <xf numFmtId="3" fontId="5" fillId="5" borderId="7" xfId="0" applyNumberFormat="1" applyFont="1" applyFill="1" applyBorder="1" applyAlignment="1" applyProtection="1">
      <alignment horizontal="right" vertical="top" wrapText="1"/>
      <protection locked="0"/>
    </xf>
    <xf numFmtId="3" fontId="4" fillId="5" borderId="7" xfId="0" applyNumberFormat="1" applyFont="1" applyFill="1" applyBorder="1" applyAlignment="1" applyProtection="1">
      <alignment horizontal="right" vertical="top" wrapText="1"/>
      <protection locked="0"/>
    </xf>
    <xf numFmtId="3" fontId="5" fillId="8" borderId="7" xfId="0" applyNumberFormat="1" applyFont="1" applyFill="1" applyBorder="1" applyAlignment="1" applyProtection="1">
      <alignment horizontal="right" vertical="top" wrapText="1"/>
      <protection locked="0"/>
    </xf>
    <xf numFmtId="3" fontId="5" fillId="0" borderId="7" xfId="0" applyNumberFormat="1" applyFont="1" applyBorder="1" applyAlignment="1" applyProtection="1">
      <alignment horizontal="right" vertical="top" wrapText="1"/>
      <protection locked="0"/>
    </xf>
    <xf numFmtId="3" fontId="4" fillId="8" borderId="7" xfId="0" applyNumberFormat="1" applyFont="1" applyFill="1" applyBorder="1" applyAlignment="1" applyProtection="1">
      <alignment horizontal="right" vertical="top" wrapText="1"/>
      <protection locked="0"/>
    </xf>
    <xf numFmtId="3" fontId="5" fillId="5" borderId="18" xfId="0" applyNumberFormat="1" applyFont="1" applyFill="1" applyBorder="1" applyAlignment="1" applyProtection="1">
      <alignment horizontal="right" vertical="top" wrapText="1"/>
      <protection locked="0"/>
    </xf>
    <xf numFmtId="3" fontId="5" fillId="9" borderId="7" xfId="0" applyNumberFormat="1" applyFont="1" applyFill="1" applyBorder="1" applyAlignment="1" applyProtection="1">
      <alignment horizontal="right" vertical="top" wrapText="1"/>
      <protection locked="0"/>
    </xf>
    <xf numFmtId="0" fontId="0" fillId="0" borderId="0" xfId="0" applyProtection="1">
      <protection locked="0"/>
    </xf>
    <xf numFmtId="3" fontId="0" fillId="0" borderId="0" xfId="0" applyNumberFormat="1" applyProtection="1">
      <protection locked="0"/>
    </xf>
    <xf numFmtId="0" fontId="1" fillId="0" borderId="0" xfId="0" applyFont="1" applyProtection="1">
      <protection locked="0"/>
    </xf>
    <xf numFmtId="3" fontId="1" fillId="0" borderId="0" xfId="0" applyNumberFormat="1" applyFont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0" fontId="2" fillId="4" borderId="0" xfId="1" applyFill="1" applyProtection="1">
      <protection locked="0"/>
    </xf>
    <xf numFmtId="3" fontId="4" fillId="7" borderId="18" xfId="0" applyNumberFormat="1" applyFont="1" applyFill="1" applyBorder="1" applyAlignment="1" applyProtection="1">
      <alignment horizontal="right" vertical="top" wrapText="1"/>
      <protection locked="0"/>
    </xf>
    <xf numFmtId="49" fontId="21" fillId="8" borderId="7" xfId="0" applyNumberFormat="1" applyFont="1" applyFill="1" applyBorder="1" applyAlignment="1">
      <alignment vertical="top" wrapText="1"/>
    </xf>
    <xf numFmtId="49" fontId="21" fillId="5" borderId="7" xfId="0" applyNumberFormat="1" applyFont="1" applyFill="1" applyBorder="1" applyAlignment="1">
      <alignment vertical="top" wrapText="1"/>
    </xf>
    <xf numFmtId="49" fontId="22" fillId="7" borderId="7" xfId="0" applyNumberFormat="1" applyFont="1" applyFill="1" applyBorder="1" applyAlignment="1">
      <alignment vertical="top" wrapText="1"/>
    </xf>
    <xf numFmtId="4" fontId="23" fillId="5" borderId="7" xfId="0" applyNumberFormat="1" applyFont="1" applyFill="1" applyBorder="1" applyAlignment="1">
      <alignment vertical="top" wrapText="1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11" borderId="19" xfId="0" applyFon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1" fillId="0" borderId="0" xfId="0" applyFont="1" applyProtection="1">
      <protection locked="0"/>
    </xf>
    <xf numFmtId="0" fontId="0" fillId="5" borderId="0" xfId="0" applyFill="1" applyAlignment="1">
      <alignment horizontal="center" wrapText="1"/>
    </xf>
    <xf numFmtId="0" fontId="0" fillId="5" borderId="0" xfId="0" applyFill="1" applyAlignment="1">
      <alignment horizontal="center"/>
    </xf>
    <xf numFmtId="0" fontId="9" fillId="0" borderId="0" xfId="1" applyFont="1" applyAlignment="1">
      <alignment horizontal="center"/>
    </xf>
    <xf numFmtId="0" fontId="14" fillId="0" borderId="0" xfId="1" applyFont="1" applyAlignment="1">
      <alignment horizontal="left" wrapText="1"/>
    </xf>
    <xf numFmtId="49" fontId="20" fillId="0" borderId="0" xfId="1" applyNumberFormat="1" applyFont="1" applyAlignment="1">
      <alignment horizontal="left" wrapText="1"/>
    </xf>
    <xf numFmtId="2" fontId="9" fillId="0" borderId="7" xfId="1" applyNumberFormat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2" fontId="2" fillId="0" borderId="7" xfId="1" applyNumberFormat="1" applyBorder="1" applyAlignment="1">
      <alignment horizontal="center" vertical="center" wrapText="1"/>
    </xf>
  </cellXfs>
  <cellStyles count="5">
    <cellStyle name="Normal 2" xfId="1" xr:uid="{C9E93855-8202-41E4-93BD-27E68724AE2B}"/>
    <cellStyle name="Normal 3" xfId="2" xr:uid="{9CD3DF4F-3064-4718-A080-3D9C7359E213}"/>
    <cellStyle name="Normal 4" xfId="3" xr:uid="{39476EDB-080D-4F49-B907-C96575185B80}"/>
    <cellStyle name="Normal 5" xfId="4" xr:uid="{1F5E07A5-053F-4267-A283-E45F9E802C9F}"/>
    <cellStyle name="Нормален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6A459-5CAD-40CB-99C0-DD65AE6CCD17}">
  <dimension ref="A1:AY225"/>
  <sheetViews>
    <sheetView tabSelected="1" topLeftCell="A169" zoomScale="115" zoomScaleNormal="115" workbookViewId="0">
      <selection activeCell="B175" sqref="B175"/>
    </sheetView>
  </sheetViews>
  <sheetFormatPr defaultRowHeight="13.2"/>
  <cols>
    <col min="1" max="1" width="4.5546875" customWidth="1"/>
    <col min="2" max="2" width="83.6640625" customWidth="1"/>
    <col min="3" max="3" width="8.33203125" customWidth="1"/>
    <col min="4" max="4" width="14" style="90" customWidth="1"/>
    <col min="5" max="5" width="14.44140625" style="90" customWidth="1"/>
    <col min="6" max="7" width="15" style="90" customWidth="1"/>
    <col min="8" max="8" width="34" customWidth="1"/>
    <col min="9" max="9" width="38.44140625" style="1" customWidth="1"/>
    <col min="10" max="51" width="9.109375" style="1" customWidth="1"/>
  </cols>
  <sheetData>
    <row r="1" spans="1:10">
      <c r="H1" s="118" t="s">
        <v>409</v>
      </c>
    </row>
    <row r="2" spans="1:10">
      <c r="A2" s="144" t="s">
        <v>160</v>
      </c>
      <c r="B2" s="144"/>
      <c r="C2" s="144"/>
      <c r="D2" s="144"/>
      <c r="E2" s="144"/>
      <c r="F2" s="144"/>
      <c r="G2" s="144"/>
      <c r="H2" s="144"/>
    </row>
    <row r="3" spans="1:10" ht="12.75" customHeight="1">
      <c r="A3" s="144" t="s">
        <v>414</v>
      </c>
      <c r="B3" s="144"/>
      <c r="C3" s="144"/>
      <c r="D3" s="144"/>
      <c r="E3" s="144"/>
      <c r="F3" s="144"/>
      <c r="G3" s="144"/>
      <c r="H3" s="144"/>
    </row>
    <row r="4" spans="1:10" ht="13.8" thickBot="1">
      <c r="A4" s="4"/>
      <c r="B4" s="4"/>
      <c r="C4" s="4"/>
      <c r="D4" s="77"/>
      <c r="E4" s="77"/>
      <c r="F4" s="77"/>
      <c r="G4" s="77"/>
      <c r="H4" s="5"/>
    </row>
    <row r="5" spans="1:10" ht="13.8" thickBot="1">
      <c r="A5" s="4" t="s">
        <v>161</v>
      </c>
      <c r="B5" s="146"/>
      <c r="C5" s="146"/>
      <c r="D5" s="146"/>
      <c r="E5" s="146"/>
      <c r="F5" s="78"/>
      <c r="G5" s="78" t="s">
        <v>213</v>
      </c>
      <c r="H5" s="6"/>
    </row>
    <row r="6" spans="1:10">
      <c r="A6" s="7"/>
      <c r="B6" s="145" t="s">
        <v>162</v>
      </c>
      <c r="C6" s="145"/>
      <c r="D6" s="145"/>
      <c r="E6" s="145"/>
      <c r="F6" s="79"/>
      <c r="G6" s="79"/>
      <c r="H6" s="5"/>
    </row>
    <row r="7" spans="1:10">
      <c r="A7" s="7"/>
      <c r="B7" s="8"/>
      <c r="C7" s="8"/>
      <c r="D7" s="80"/>
      <c r="E7" s="80"/>
      <c r="F7" s="79"/>
      <c r="G7" s="79"/>
      <c r="H7" s="5"/>
    </row>
    <row r="8" spans="1:10" ht="26.4">
      <c r="A8" s="9" t="s">
        <v>0</v>
      </c>
      <c r="B8" s="9" t="s">
        <v>1</v>
      </c>
      <c r="C8" s="10" t="s">
        <v>154</v>
      </c>
      <c r="D8" s="81" t="s">
        <v>412</v>
      </c>
      <c r="E8" s="81" t="s">
        <v>156</v>
      </c>
      <c r="F8" s="81" t="s">
        <v>405</v>
      </c>
      <c r="G8" s="81" t="s">
        <v>413</v>
      </c>
      <c r="H8" s="11" t="s">
        <v>122</v>
      </c>
    </row>
    <row r="9" spans="1:10">
      <c r="A9" s="12"/>
      <c r="B9" s="13" t="s">
        <v>9</v>
      </c>
      <c r="C9" s="14"/>
      <c r="D9" s="82">
        <f>D10+D14+D45+D58+D157+D166+D169+D173+D192+D195</f>
        <v>0</v>
      </c>
      <c r="E9" s="82">
        <f>E10+E14+E45+E58+E157+E166+E169+E173+E192+E195</f>
        <v>0</v>
      </c>
      <c r="F9" s="82">
        <f>F10+F14+F45+F58+F157+F166+F169+F173+F192+F195</f>
        <v>0</v>
      </c>
      <c r="G9" s="82">
        <f>G10+G14+G45+G58+G157+G166+G169+G173+G192+G195</f>
        <v>0</v>
      </c>
      <c r="H9" s="15"/>
    </row>
    <row r="10" spans="1:10">
      <c r="A10" s="47" t="s">
        <v>10</v>
      </c>
      <c r="B10" s="16" t="s">
        <v>155</v>
      </c>
      <c r="C10" s="17" t="s">
        <v>11</v>
      </c>
      <c r="D10" s="83">
        <f>D11+D12+D13</f>
        <v>0</v>
      </c>
      <c r="E10" s="83">
        <f>E11+E12+E13</f>
        <v>0</v>
      </c>
      <c r="F10" s="83">
        <f>F11+F12+F13</f>
        <v>0</v>
      </c>
      <c r="G10" s="83">
        <f>G11+G12+G13</f>
        <v>0</v>
      </c>
      <c r="H10" s="18"/>
    </row>
    <row r="11" spans="1:10" ht="39.6">
      <c r="A11" s="46"/>
      <c r="B11" s="19" t="s">
        <v>157</v>
      </c>
      <c r="C11" s="20" t="s">
        <v>114</v>
      </c>
      <c r="D11" s="124"/>
      <c r="E11" s="124"/>
      <c r="F11" s="124"/>
      <c r="G11" s="124"/>
      <c r="H11" s="66" t="s">
        <v>286</v>
      </c>
      <c r="I11" s="149"/>
    </row>
    <row r="12" spans="1:10" ht="57.75" customHeight="1">
      <c r="A12" s="46"/>
      <c r="B12" s="19" t="s">
        <v>158</v>
      </c>
      <c r="C12" s="20" t="s">
        <v>115</v>
      </c>
      <c r="D12" s="124"/>
      <c r="E12" s="124"/>
      <c r="F12" s="124"/>
      <c r="G12" s="124"/>
      <c r="H12" s="143" t="s">
        <v>350</v>
      </c>
      <c r="I12" s="149"/>
    </row>
    <row r="13" spans="1:10">
      <c r="A13" s="46"/>
      <c r="B13" s="21" t="s">
        <v>159</v>
      </c>
      <c r="C13" s="20" t="s">
        <v>123</v>
      </c>
      <c r="D13" s="124"/>
      <c r="E13" s="124"/>
      <c r="F13" s="124"/>
      <c r="G13" s="124"/>
      <c r="H13" s="69" t="s">
        <v>287</v>
      </c>
      <c r="I13" s="149"/>
      <c r="J13" s="2"/>
    </row>
    <row r="14" spans="1:10" s="1" customFormat="1">
      <c r="A14" s="47" t="s">
        <v>6</v>
      </c>
      <c r="B14" s="16" t="s">
        <v>163</v>
      </c>
      <c r="C14" s="17" t="s">
        <v>12</v>
      </c>
      <c r="D14" s="83">
        <f>D15+D18+D24+D37+D41</f>
        <v>0</v>
      </c>
      <c r="E14" s="83">
        <f>E15+E18+E24+E37+E41</f>
        <v>0</v>
      </c>
      <c r="F14" s="83">
        <f>F15+F18+F24+F37+F41</f>
        <v>0</v>
      </c>
      <c r="G14" s="83">
        <f>G15+G18+G24+G37+G41</f>
        <v>0</v>
      </c>
      <c r="H14" s="70"/>
    </row>
    <row r="15" spans="1:10" s="1" customFormat="1">
      <c r="A15" s="48" t="s">
        <v>306</v>
      </c>
      <c r="B15" s="43" t="s">
        <v>164</v>
      </c>
      <c r="C15" s="44" t="s">
        <v>13</v>
      </c>
      <c r="D15" s="85">
        <f>D16+D17</f>
        <v>0</v>
      </c>
      <c r="E15" s="85">
        <f>E16+E17</f>
        <v>0</v>
      </c>
      <c r="F15" s="85">
        <f>F16+F17</f>
        <v>0</v>
      </c>
      <c r="G15" s="85">
        <f>G16+G17</f>
        <v>0</v>
      </c>
      <c r="H15" s="64"/>
    </row>
    <row r="16" spans="1:10" s="1" customFormat="1">
      <c r="A16" s="49"/>
      <c r="B16" s="19" t="s">
        <v>346</v>
      </c>
      <c r="C16" s="20" t="s">
        <v>349</v>
      </c>
      <c r="D16" s="124"/>
      <c r="E16" s="124"/>
      <c r="F16" s="124"/>
      <c r="G16" s="124"/>
      <c r="H16" s="64" t="s">
        <v>347</v>
      </c>
      <c r="I16" s="3"/>
    </row>
    <row r="17" spans="1:9" s="1" customFormat="1" ht="45" customHeight="1">
      <c r="A17" s="49"/>
      <c r="B17" s="19" t="s">
        <v>285</v>
      </c>
      <c r="C17" s="20" t="s">
        <v>348</v>
      </c>
      <c r="D17" s="124"/>
      <c r="E17" s="124"/>
      <c r="F17" s="124"/>
      <c r="G17" s="124"/>
      <c r="H17" s="143" t="s">
        <v>415</v>
      </c>
    </row>
    <row r="18" spans="1:9" s="1" customFormat="1">
      <c r="A18" s="48" t="s">
        <v>307</v>
      </c>
      <c r="B18" s="43" t="s">
        <v>165</v>
      </c>
      <c r="C18" s="44" t="s">
        <v>14</v>
      </c>
      <c r="D18" s="85">
        <f>D19+D22+D23</f>
        <v>0</v>
      </c>
      <c r="E18" s="85">
        <f>E19+E22+E23</f>
        <v>0</v>
      </c>
      <c r="F18" s="85">
        <f>F19+F22+F23</f>
        <v>0</v>
      </c>
      <c r="G18" s="85">
        <f>G19+G22+G23</f>
        <v>0</v>
      </c>
      <c r="H18" s="64"/>
    </row>
    <row r="19" spans="1:9" s="1" customFormat="1">
      <c r="A19" s="48" t="s">
        <v>305</v>
      </c>
      <c r="B19" s="19" t="s">
        <v>166</v>
      </c>
      <c r="C19" s="22" t="s">
        <v>15</v>
      </c>
      <c r="D19" s="84">
        <f>D20+D21</f>
        <v>0</v>
      </c>
      <c r="E19" s="84">
        <f>E20+E21</f>
        <v>0</v>
      </c>
      <c r="F19" s="84">
        <f>F20+F21</f>
        <v>0</v>
      </c>
      <c r="G19" s="84">
        <f>G20+G21</f>
        <v>0</v>
      </c>
      <c r="H19" s="64"/>
    </row>
    <row r="20" spans="1:9" s="1" customFormat="1" ht="39.6">
      <c r="A20" s="49"/>
      <c r="B20" s="19" t="s">
        <v>176</v>
      </c>
      <c r="C20" s="20" t="s">
        <v>116</v>
      </c>
      <c r="D20" s="124"/>
      <c r="E20" s="124"/>
      <c r="F20" s="124"/>
      <c r="G20" s="124"/>
      <c r="H20" s="66" t="s">
        <v>286</v>
      </c>
    </row>
    <row r="21" spans="1:9" s="1" customFormat="1" ht="26.4">
      <c r="A21" s="49"/>
      <c r="B21" s="19" t="s">
        <v>167</v>
      </c>
      <c r="C21" s="20" t="s">
        <v>117</v>
      </c>
      <c r="D21" s="124"/>
      <c r="E21" s="124"/>
      <c r="F21" s="124"/>
      <c r="G21" s="124"/>
      <c r="H21" s="64" t="s">
        <v>350</v>
      </c>
    </row>
    <row r="22" spans="1:9" s="1" customFormat="1">
      <c r="A22" s="48" t="s">
        <v>308</v>
      </c>
      <c r="B22" s="19" t="s">
        <v>168</v>
      </c>
      <c r="C22" s="22" t="s">
        <v>16</v>
      </c>
      <c r="D22" s="124"/>
      <c r="E22" s="124"/>
      <c r="F22" s="124"/>
      <c r="G22" s="124"/>
      <c r="H22" s="64" t="s">
        <v>288</v>
      </c>
      <c r="I22" s="150"/>
    </row>
    <row r="23" spans="1:9" s="1" customFormat="1" ht="39.6">
      <c r="A23" s="48" t="s">
        <v>309</v>
      </c>
      <c r="B23" s="19" t="s">
        <v>169</v>
      </c>
      <c r="C23" s="22" t="s">
        <v>17</v>
      </c>
      <c r="D23" s="124"/>
      <c r="E23" s="124"/>
      <c r="F23" s="124"/>
      <c r="G23" s="124"/>
      <c r="H23" s="66" t="s">
        <v>286</v>
      </c>
      <c r="I23" s="150"/>
    </row>
    <row r="24" spans="1:9" s="1" customFormat="1" ht="26.4">
      <c r="A24" s="48" t="s">
        <v>310</v>
      </c>
      <c r="B24" s="43" t="s">
        <v>18</v>
      </c>
      <c r="C24" s="44" t="s">
        <v>19</v>
      </c>
      <c r="D24" s="85">
        <f>D25+D29+D33</f>
        <v>0</v>
      </c>
      <c r="E24" s="85">
        <f>E25+E29+E33</f>
        <v>0</v>
      </c>
      <c r="F24" s="85">
        <f>F25+F29+F33</f>
        <v>0</v>
      </c>
      <c r="G24" s="85">
        <f>G25+G29+G33</f>
        <v>0</v>
      </c>
      <c r="H24" s="64"/>
    </row>
    <row r="25" spans="1:9" s="1" customFormat="1">
      <c r="A25" s="48" t="s">
        <v>311</v>
      </c>
      <c r="B25" s="19" t="s">
        <v>20</v>
      </c>
      <c r="C25" s="22" t="s">
        <v>21</v>
      </c>
      <c r="D25" s="84">
        <f>D26+D27+D28</f>
        <v>0</v>
      </c>
      <c r="E25" s="84">
        <f>E26+E27+E28</f>
        <v>0</v>
      </c>
      <c r="F25" s="84">
        <f>F26+F27+F28</f>
        <v>0</v>
      </c>
      <c r="G25" s="84">
        <f>G26+G27+G28</f>
        <v>0</v>
      </c>
      <c r="H25" s="64"/>
      <c r="I25" s="3"/>
    </row>
    <row r="26" spans="1:9" ht="53.25" customHeight="1">
      <c r="A26" s="46"/>
      <c r="B26" s="23" t="s">
        <v>174</v>
      </c>
      <c r="C26" s="20" t="s">
        <v>118</v>
      </c>
      <c r="D26" s="124"/>
      <c r="E26" s="124"/>
      <c r="F26" s="124"/>
      <c r="G26" s="124"/>
      <c r="H26" s="66" t="s">
        <v>286</v>
      </c>
    </row>
    <row r="27" spans="1:9" ht="54.75" customHeight="1">
      <c r="A27" s="46"/>
      <c r="B27" s="23" t="s">
        <v>170</v>
      </c>
      <c r="C27" s="20" t="s">
        <v>119</v>
      </c>
      <c r="D27" s="124"/>
      <c r="E27" s="124"/>
      <c r="F27" s="124"/>
      <c r="G27" s="124"/>
      <c r="H27" s="64" t="s">
        <v>350</v>
      </c>
    </row>
    <row r="28" spans="1:9">
      <c r="A28" s="46"/>
      <c r="B28" s="23" t="s">
        <v>191</v>
      </c>
      <c r="C28" s="20" t="s">
        <v>120</v>
      </c>
      <c r="D28" s="124"/>
      <c r="E28" s="124"/>
      <c r="F28" s="124"/>
      <c r="G28" s="124"/>
      <c r="H28" s="69" t="s">
        <v>287</v>
      </c>
    </row>
    <row r="29" spans="1:9" s="1" customFormat="1">
      <c r="A29" s="48" t="s">
        <v>312</v>
      </c>
      <c r="B29" s="19" t="s">
        <v>269</v>
      </c>
      <c r="C29" s="20" t="s">
        <v>270</v>
      </c>
      <c r="D29" s="84">
        <f>D30+D31+D32</f>
        <v>0</v>
      </c>
      <c r="E29" s="84">
        <f>E30+E31+E32</f>
        <v>0</v>
      </c>
      <c r="F29" s="84">
        <f>F30+F31+F32</f>
        <v>0</v>
      </c>
      <c r="G29" s="84">
        <f>G30+G31+G32</f>
        <v>0</v>
      </c>
      <c r="H29" s="64"/>
    </row>
    <row r="30" spans="1:9" s="1" customFormat="1" ht="39.6">
      <c r="A30" s="49"/>
      <c r="B30" s="23" t="s">
        <v>271</v>
      </c>
      <c r="C30" s="20" t="s">
        <v>276</v>
      </c>
      <c r="D30" s="124"/>
      <c r="E30" s="124"/>
      <c r="F30" s="124"/>
      <c r="G30" s="124"/>
      <c r="H30" s="66" t="s">
        <v>286</v>
      </c>
    </row>
    <row r="31" spans="1:9" s="1" customFormat="1" ht="26.4">
      <c r="A31" s="49"/>
      <c r="B31" s="23" t="s">
        <v>272</v>
      </c>
      <c r="C31" s="20" t="s">
        <v>277</v>
      </c>
      <c r="D31" s="124"/>
      <c r="E31" s="124"/>
      <c r="F31" s="124"/>
      <c r="G31" s="124"/>
      <c r="H31" s="64" t="s">
        <v>350</v>
      </c>
    </row>
    <row r="32" spans="1:9" s="1" customFormat="1">
      <c r="A32" s="49"/>
      <c r="B32" s="23" t="s">
        <v>273</v>
      </c>
      <c r="C32" s="20" t="s">
        <v>278</v>
      </c>
      <c r="D32" s="124"/>
      <c r="E32" s="124"/>
      <c r="F32" s="124"/>
      <c r="G32" s="124"/>
      <c r="H32" s="69" t="s">
        <v>287</v>
      </c>
    </row>
    <row r="33" spans="1:8" s="1" customFormat="1">
      <c r="A33" s="48" t="s">
        <v>313</v>
      </c>
      <c r="B33" s="19" t="s">
        <v>274</v>
      </c>
      <c r="C33" s="20" t="s">
        <v>275</v>
      </c>
      <c r="D33" s="84">
        <f>D34+D35+D36</f>
        <v>0</v>
      </c>
      <c r="E33" s="84">
        <f>E34+E35+E36</f>
        <v>0</v>
      </c>
      <c r="F33" s="84">
        <f>F34+F35+F36</f>
        <v>0</v>
      </c>
      <c r="G33" s="84">
        <f>G34+G35+G36</f>
        <v>0</v>
      </c>
      <c r="H33" s="71"/>
    </row>
    <row r="34" spans="1:8" s="1" customFormat="1" ht="39.6">
      <c r="A34" s="49"/>
      <c r="B34" s="23" t="s">
        <v>282</v>
      </c>
      <c r="C34" s="20" t="s">
        <v>279</v>
      </c>
      <c r="D34" s="124"/>
      <c r="E34" s="124"/>
      <c r="F34" s="124"/>
      <c r="G34" s="124"/>
      <c r="H34" s="66" t="s">
        <v>286</v>
      </c>
    </row>
    <row r="35" spans="1:8" s="1" customFormat="1" ht="26.4">
      <c r="A35" s="49"/>
      <c r="B35" s="23" t="s">
        <v>283</v>
      </c>
      <c r="C35" s="20" t="s">
        <v>280</v>
      </c>
      <c r="D35" s="124"/>
      <c r="E35" s="124"/>
      <c r="F35" s="124"/>
      <c r="G35" s="124"/>
      <c r="H35" s="64" t="s">
        <v>350</v>
      </c>
    </row>
    <row r="36" spans="1:8" s="1" customFormat="1">
      <c r="A36" s="49"/>
      <c r="B36" s="23" t="s">
        <v>284</v>
      </c>
      <c r="C36" s="20" t="s">
        <v>281</v>
      </c>
      <c r="D36" s="124"/>
      <c r="E36" s="124"/>
      <c r="F36" s="124"/>
      <c r="G36" s="124"/>
      <c r="H36" s="69" t="s">
        <v>287</v>
      </c>
    </row>
    <row r="37" spans="1:8">
      <c r="A37" s="58" t="s">
        <v>314</v>
      </c>
      <c r="B37" s="13" t="s">
        <v>22</v>
      </c>
      <c r="C37" s="59" t="s">
        <v>23</v>
      </c>
      <c r="D37" s="82">
        <f>D38+D39+D40</f>
        <v>0</v>
      </c>
      <c r="E37" s="82">
        <f>E38+E39+E40</f>
        <v>0</v>
      </c>
      <c r="F37" s="82">
        <f>F38+F39+F40</f>
        <v>0</v>
      </c>
      <c r="G37" s="82">
        <f>G38+G39+G40</f>
        <v>0</v>
      </c>
      <c r="H37" s="72"/>
    </row>
    <row r="38" spans="1:8" ht="39.6">
      <c r="A38" s="46"/>
      <c r="B38" s="19" t="s">
        <v>175</v>
      </c>
      <c r="C38" s="20" t="s">
        <v>351</v>
      </c>
      <c r="D38" s="124"/>
      <c r="E38" s="124"/>
      <c r="F38" s="124"/>
      <c r="G38" s="124"/>
      <c r="H38" s="64" t="s">
        <v>286</v>
      </c>
    </row>
    <row r="39" spans="1:8" ht="26.4">
      <c r="A39" s="46"/>
      <c r="B39" s="19" t="s">
        <v>289</v>
      </c>
      <c r="C39" s="20" t="s">
        <v>352</v>
      </c>
      <c r="D39" s="124"/>
      <c r="E39" s="124"/>
      <c r="F39" s="124"/>
      <c r="G39" s="124"/>
      <c r="H39" s="64" t="s">
        <v>350</v>
      </c>
    </row>
    <row r="40" spans="1:8">
      <c r="A40" s="46"/>
      <c r="B40" s="19" t="s">
        <v>171</v>
      </c>
      <c r="C40" s="20" t="s">
        <v>353</v>
      </c>
      <c r="D40" s="124"/>
      <c r="E40" s="124"/>
      <c r="F40" s="124"/>
      <c r="G40" s="124"/>
      <c r="H40" s="64" t="s">
        <v>287</v>
      </c>
    </row>
    <row r="41" spans="1:8">
      <c r="A41" s="58" t="s">
        <v>315</v>
      </c>
      <c r="B41" s="13" t="s">
        <v>172</v>
      </c>
      <c r="C41" s="59" t="s">
        <v>24</v>
      </c>
      <c r="D41" s="82">
        <f>D42+D43+D44</f>
        <v>0</v>
      </c>
      <c r="E41" s="82">
        <f>E42+E43+E44</f>
        <v>0</v>
      </c>
      <c r="F41" s="82">
        <f>F42+F43+F44</f>
        <v>0</v>
      </c>
      <c r="G41" s="82">
        <f>G42+G43+G44</f>
        <v>0</v>
      </c>
      <c r="H41" s="72"/>
    </row>
    <row r="42" spans="1:8" ht="53.25" customHeight="1">
      <c r="A42" s="46"/>
      <c r="B42" s="12" t="s">
        <v>173</v>
      </c>
      <c r="C42" s="20" t="s">
        <v>354</v>
      </c>
      <c r="D42" s="124"/>
      <c r="E42" s="124"/>
      <c r="F42" s="124"/>
      <c r="G42" s="124"/>
      <c r="H42" s="64" t="s">
        <v>286</v>
      </c>
    </row>
    <row r="43" spans="1:8" ht="26.4">
      <c r="A43" s="46"/>
      <c r="B43" s="12" t="s">
        <v>177</v>
      </c>
      <c r="C43" s="20" t="s">
        <v>355</v>
      </c>
      <c r="D43" s="124"/>
      <c r="E43" s="124"/>
      <c r="F43" s="124"/>
      <c r="G43" s="124"/>
      <c r="H43" s="64" t="s">
        <v>350</v>
      </c>
    </row>
    <row r="44" spans="1:8">
      <c r="A44" s="46"/>
      <c r="B44" s="12" t="s">
        <v>178</v>
      </c>
      <c r="C44" s="20" t="s">
        <v>356</v>
      </c>
      <c r="D44" s="124"/>
      <c r="E44" s="124"/>
      <c r="F44" s="124"/>
      <c r="G44" s="124"/>
      <c r="H44" s="64" t="s">
        <v>287</v>
      </c>
    </row>
    <row r="45" spans="1:8">
      <c r="A45" s="47" t="s">
        <v>7</v>
      </c>
      <c r="B45" s="16" t="s">
        <v>25</v>
      </c>
      <c r="C45" s="17" t="s">
        <v>26</v>
      </c>
      <c r="D45" s="83">
        <f>D46+D50+D54</f>
        <v>0</v>
      </c>
      <c r="E45" s="83">
        <f>E46+E50+E54</f>
        <v>0</v>
      </c>
      <c r="F45" s="83">
        <f>F46+F50+F54</f>
        <v>0</v>
      </c>
      <c r="G45" s="83">
        <f>G46+G50+G54</f>
        <v>0</v>
      </c>
      <c r="H45" s="70"/>
    </row>
    <row r="46" spans="1:8">
      <c r="A46" s="58" t="s">
        <v>306</v>
      </c>
      <c r="B46" s="13" t="s">
        <v>179</v>
      </c>
      <c r="C46" s="44" t="s">
        <v>27</v>
      </c>
      <c r="D46" s="82">
        <f>D47+D48+D49</f>
        <v>0</v>
      </c>
      <c r="E46" s="82">
        <f>E47+E48+E49</f>
        <v>0</v>
      </c>
      <c r="F46" s="82">
        <f>F47+F48+F49</f>
        <v>0</v>
      </c>
      <c r="G46" s="82">
        <f>G47+G48+G49</f>
        <v>0</v>
      </c>
      <c r="H46" s="72"/>
    </row>
    <row r="47" spans="1:8" ht="39.6">
      <c r="A47" s="46"/>
      <c r="B47" s="12" t="s">
        <v>180</v>
      </c>
      <c r="C47" s="20" t="s">
        <v>357</v>
      </c>
      <c r="D47" s="124"/>
      <c r="E47" s="124"/>
      <c r="F47" s="124"/>
      <c r="G47" s="124"/>
      <c r="H47" s="64" t="s">
        <v>286</v>
      </c>
    </row>
    <row r="48" spans="1:8" ht="26.4">
      <c r="A48" s="46"/>
      <c r="B48" s="12" t="s">
        <v>181</v>
      </c>
      <c r="C48" s="20" t="s">
        <v>358</v>
      </c>
      <c r="D48" s="124"/>
      <c r="E48" s="124"/>
      <c r="F48" s="124"/>
      <c r="G48" s="124"/>
      <c r="H48" s="64" t="s">
        <v>350</v>
      </c>
    </row>
    <row r="49" spans="1:8">
      <c r="A49" s="46"/>
      <c r="B49" s="12" t="s">
        <v>182</v>
      </c>
      <c r="C49" s="20" t="s">
        <v>359</v>
      </c>
      <c r="D49" s="124"/>
      <c r="E49" s="124"/>
      <c r="F49" s="124"/>
      <c r="G49" s="124"/>
      <c r="H49" s="64" t="s">
        <v>287</v>
      </c>
    </row>
    <row r="50" spans="1:8" ht="12" customHeight="1">
      <c r="A50" s="58" t="s">
        <v>307</v>
      </c>
      <c r="B50" s="13" t="s">
        <v>183</v>
      </c>
      <c r="C50" s="59" t="s">
        <v>28</v>
      </c>
      <c r="D50" s="82">
        <f>D53+D52+D51</f>
        <v>0</v>
      </c>
      <c r="E50" s="82">
        <f>E53+E52+E51</f>
        <v>0</v>
      </c>
      <c r="F50" s="82">
        <f>F53+F52+F51</f>
        <v>0</v>
      </c>
      <c r="G50" s="82">
        <f>G53+G52+G51</f>
        <v>0</v>
      </c>
      <c r="H50" s="64"/>
    </row>
    <row r="51" spans="1:8" ht="39.6">
      <c r="A51" s="46"/>
      <c r="B51" s="25" t="s">
        <v>184</v>
      </c>
      <c r="C51" s="20" t="s">
        <v>360</v>
      </c>
      <c r="D51" s="124"/>
      <c r="E51" s="124"/>
      <c r="F51" s="124"/>
      <c r="G51" s="124"/>
      <c r="H51" s="64" t="s">
        <v>286</v>
      </c>
    </row>
    <row r="52" spans="1:8" ht="26.4">
      <c r="A52" s="46"/>
      <c r="B52" s="25" t="s">
        <v>185</v>
      </c>
      <c r="C52" s="20" t="s">
        <v>361</v>
      </c>
      <c r="D52" s="124"/>
      <c r="E52" s="124"/>
      <c r="F52" s="124"/>
      <c r="G52" s="124"/>
      <c r="H52" s="64" t="s">
        <v>350</v>
      </c>
    </row>
    <row r="53" spans="1:8">
      <c r="A53" s="46"/>
      <c r="B53" s="25" t="s">
        <v>186</v>
      </c>
      <c r="C53" s="20" t="s">
        <v>362</v>
      </c>
      <c r="D53" s="124"/>
      <c r="E53" s="124"/>
      <c r="F53" s="124"/>
      <c r="G53" s="124"/>
      <c r="H53" s="64" t="s">
        <v>287</v>
      </c>
    </row>
    <row r="54" spans="1:8">
      <c r="A54" s="58" t="s">
        <v>310</v>
      </c>
      <c r="B54" s="13" t="s">
        <v>187</v>
      </c>
      <c r="C54" s="59" t="s">
        <v>29</v>
      </c>
      <c r="D54" s="82">
        <f>D55+D56+D57</f>
        <v>0</v>
      </c>
      <c r="E54" s="82">
        <f>E55+E56+E57</f>
        <v>0</v>
      </c>
      <c r="F54" s="82">
        <f>F55+F56+F57</f>
        <v>0</v>
      </c>
      <c r="G54" s="82">
        <f>G55+G56+G57</f>
        <v>0</v>
      </c>
      <c r="H54" s="64"/>
    </row>
    <row r="55" spans="1:8" ht="39.6">
      <c r="A55" s="46"/>
      <c r="B55" s="23" t="s">
        <v>188</v>
      </c>
      <c r="C55" s="20" t="s">
        <v>363</v>
      </c>
      <c r="D55" s="124"/>
      <c r="E55" s="124"/>
      <c r="F55" s="124"/>
      <c r="G55" s="124"/>
      <c r="H55" s="64" t="s">
        <v>286</v>
      </c>
    </row>
    <row r="56" spans="1:8" ht="26.4">
      <c r="A56" s="46"/>
      <c r="B56" s="23" t="s">
        <v>189</v>
      </c>
      <c r="C56" s="20" t="s">
        <v>364</v>
      </c>
      <c r="D56" s="124"/>
      <c r="E56" s="124"/>
      <c r="F56" s="124"/>
      <c r="G56" s="124"/>
      <c r="H56" s="64" t="s">
        <v>350</v>
      </c>
    </row>
    <row r="57" spans="1:8">
      <c r="A57" s="46"/>
      <c r="B57" s="19" t="s">
        <v>190</v>
      </c>
      <c r="C57" s="20" t="s">
        <v>365</v>
      </c>
      <c r="D57" s="124"/>
      <c r="E57" s="124"/>
      <c r="F57" s="124"/>
      <c r="G57" s="124"/>
      <c r="H57" s="64" t="s">
        <v>287</v>
      </c>
    </row>
    <row r="58" spans="1:8" s="1" customFormat="1">
      <c r="A58" s="47" t="s">
        <v>316</v>
      </c>
      <c r="B58" s="16" t="s">
        <v>30</v>
      </c>
      <c r="C58" s="17" t="s">
        <v>31</v>
      </c>
      <c r="D58" s="83">
        <f>D59+D63+D67+D71+D75+D81+D85+D113+D126+D130+D134+D135+D139+D140+D144+D148</f>
        <v>0</v>
      </c>
      <c r="E58" s="83">
        <f>E59+E63+E67+E71+E75+E81+E85+E113+E126+E130+E134+E135+E139+E140+E144+E148</f>
        <v>0</v>
      </c>
      <c r="F58" s="83">
        <f>F59+F63+F67+F71+F75+F81+F85+F113+F126+F130+F134+F135+F139+F140+F144+F148</f>
        <v>0</v>
      </c>
      <c r="G58" s="83">
        <f>G59+G63+G67+G71+G75+G81+G85+G113+G126+G130+G134+G135+G139+G140+G144+G148</f>
        <v>0</v>
      </c>
      <c r="H58" s="70"/>
    </row>
    <row r="59" spans="1:8" s="1" customFormat="1" ht="22.5" customHeight="1">
      <c r="A59" s="48" t="s">
        <v>306</v>
      </c>
      <c r="B59" s="43" t="s">
        <v>32</v>
      </c>
      <c r="C59" s="44" t="s">
        <v>33</v>
      </c>
      <c r="D59" s="125">
        <f>D60+D61+D62</f>
        <v>0</v>
      </c>
      <c r="E59" s="125">
        <f>E60+E61+E62</f>
        <v>0</v>
      </c>
      <c r="F59" s="125">
        <f>F60+F61+F62</f>
        <v>0</v>
      </c>
      <c r="G59" s="125">
        <f>G60+G61+G62</f>
        <v>0</v>
      </c>
      <c r="H59" s="64"/>
    </row>
    <row r="60" spans="1:8" s="1" customFormat="1" ht="39.6">
      <c r="A60" s="49"/>
      <c r="B60" s="19" t="s">
        <v>215</v>
      </c>
      <c r="C60" s="20" t="s">
        <v>217</v>
      </c>
      <c r="D60" s="84"/>
      <c r="E60" s="84"/>
      <c r="F60" s="84"/>
      <c r="G60" s="84"/>
      <c r="H60" s="64" t="s">
        <v>290</v>
      </c>
    </row>
    <row r="61" spans="1:8" s="1" customFormat="1" ht="26.4">
      <c r="A61" s="49"/>
      <c r="B61" s="19" t="s">
        <v>216</v>
      </c>
      <c r="C61" s="20" t="s">
        <v>218</v>
      </c>
      <c r="D61" s="84"/>
      <c r="E61" s="84"/>
      <c r="F61" s="84"/>
      <c r="G61" s="84"/>
      <c r="H61" s="64" t="s">
        <v>366</v>
      </c>
    </row>
    <row r="62" spans="1:8" s="1" customFormat="1" ht="26.25" customHeight="1">
      <c r="A62" s="49"/>
      <c r="B62" s="19" t="s">
        <v>140</v>
      </c>
      <c r="C62" s="22" t="s">
        <v>146</v>
      </c>
      <c r="D62" s="84"/>
      <c r="E62" s="84"/>
      <c r="F62" s="84"/>
      <c r="G62" s="84"/>
      <c r="H62" s="64" t="s">
        <v>291</v>
      </c>
    </row>
    <row r="63" spans="1:8" s="1" customFormat="1" ht="23.1" customHeight="1">
      <c r="A63" s="48" t="s">
        <v>307</v>
      </c>
      <c r="B63" s="43" t="s">
        <v>34</v>
      </c>
      <c r="C63" s="44" t="s">
        <v>35</v>
      </c>
      <c r="D63" s="125"/>
      <c r="E63" s="125"/>
      <c r="F63" s="125"/>
      <c r="G63" s="125"/>
      <c r="H63" s="64"/>
    </row>
    <row r="64" spans="1:8" s="1" customFormat="1" ht="39.6">
      <c r="A64" s="49"/>
      <c r="B64" s="19" t="s">
        <v>215</v>
      </c>
      <c r="C64" s="22" t="s">
        <v>219</v>
      </c>
      <c r="D64" s="84" t="e">
        <f>D63/D202*D203</f>
        <v>#DIV/0!</v>
      </c>
      <c r="E64" s="84" t="e">
        <f>E63/E202*E203</f>
        <v>#DIV/0!</v>
      </c>
      <c r="F64" s="84" t="e">
        <f>F63/F202*F203</f>
        <v>#DIV/0!</v>
      </c>
      <c r="G64" s="84" t="e">
        <f>G63/G202*G203</f>
        <v>#DIV/0!</v>
      </c>
      <c r="H64" s="64" t="s">
        <v>290</v>
      </c>
    </row>
    <row r="65" spans="1:8" s="1" customFormat="1" ht="26.4">
      <c r="A65" s="49"/>
      <c r="B65" s="19" t="s">
        <v>216</v>
      </c>
      <c r="C65" s="22" t="s">
        <v>220</v>
      </c>
      <c r="D65" s="84" t="e">
        <f>D63/D202*D204</f>
        <v>#DIV/0!</v>
      </c>
      <c r="E65" s="84" t="e">
        <f>E63/E202*E204</f>
        <v>#DIV/0!</v>
      </c>
      <c r="F65" s="84" t="e">
        <f>F63/F202*F204</f>
        <v>#DIV/0!</v>
      </c>
      <c r="G65" s="84" t="e">
        <f>G63/G202*G204</f>
        <v>#DIV/0!</v>
      </c>
      <c r="H65" s="64" t="s">
        <v>366</v>
      </c>
    </row>
    <row r="66" spans="1:8" s="1" customFormat="1">
      <c r="A66" s="49"/>
      <c r="B66" s="19" t="s">
        <v>141</v>
      </c>
      <c r="C66" s="22" t="s">
        <v>142</v>
      </c>
      <c r="D66" s="84" t="e">
        <f>D63/D202*D205</f>
        <v>#DIV/0!</v>
      </c>
      <c r="E66" s="84" t="e">
        <f>E63/E202*E205</f>
        <v>#DIV/0!</v>
      </c>
      <c r="F66" s="84" t="e">
        <f>F63/F202*F205</f>
        <v>#DIV/0!</v>
      </c>
      <c r="G66" s="84" t="e">
        <f>G63/G202*G205</f>
        <v>#DIV/0!</v>
      </c>
      <c r="H66" s="66" t="s">
        <v>291</v>
      </c>
    </row>
    <row r="67" spans="1:8" s="1" customFormat="1" ht="20.25" customHeight="1">
      <c r="A67" s="48" t="s">
        <v>310</v>
      </c>
      <c r="B67" s="43" t="s">
        <v>36</v>
      </c>
      <c r="C67" s="44" t="s">
        <v>37</v>
      </c>
      <c r="D67" s="125">
        <f>D68+D69+D70</f>
        <v>0</v>
      </c>
      <c r="E67" s="125">
        <f>E68+E69+E70</f>
        <v>0</v>
      </c>
      <c r="F67" s="125">
        <f>F68+F69+F70</f>
        <v>0</v>
      </c>
      <c r="G67" s="125">
        <f>G68+G69+G70</f>
        <v>0</v>
      </c>
      <c r="H67" s="64"/>
    </row>
    <row r="68" spans="1:8" s="1" customFormat="1" ht="39.6">
      <c r="A68" s="49"/>
      <c r="B68" s="19" t="s">
        <v>215</v>
      </c>
      <c r="C68" s="22" t="s">
        <v>221</v>
      </c>
      <c r="D68" s="84"/>
      <c r="E68" s="84"/>
      <c r="F68" s="84"/>
      <c r="G68" s="84"/>
      <c r="H68" s="64" t="s">
        <v>290</v>
      </c>
    </row>
    <row r="69" spans="1:8" s="1" customFormat="1" ht="26.4">
      <c r="A69" s="49"/>
      <c r="B69" s="19" t="s">
        <v>216</v>
      </c>
      <c r="C69" s="22" t="s">
        <v>222</v>
      </c>
      <c r="D69" s="84"/>
      <c r="E69" s="84"/>
      <c r="F69" s="84"/>
      <c r="G69" s="84"/>
      <c r="H69" s="64" t="s">
        <v>366</v>
      </c>
    </row>
    <row r="70" spans="1:8" s="1" customFormat="1" ht="24.75" customHeight="1">
      <c r="A70" s="49"/>
      <c r="B70" s="19" t="s">
        <v>193</v>
      </c>
      <c r="C70" s="22" t="s">
        <v>143</v>
      </c>
      <c r="D70" s="84"/>
      <c r="E70" s="84"/>
      <c r="F70" s="84"/>
      <c r="G70" s="84"/>
      <c r="H70" s="66" t="s">
        <v>291</v>
      </c>
    </row>
    <row r="71" spans="1:8" s="1" customFormat="1">
      <c r="A71" s="48" t="s">
        <v>314</v>
      </c>
      <c r="B71" s="43" t="s">
        <v>38</v>
      </c>
      <c r="C71" s="44" t="s">
        <v>39</v>
      </c>
      <c r="D71" s="125">
        <f>D72+D73+D74</f>
        <v>0</v>
      </c>
      <c r="E71" s="125">
        <f>E72+E73+E74</f>
        <v>0</v>
      </c>
      <c r="F71" s="125">
        <f>F72+F73+F74</f>
        <v>0</v>
      </c>
      <c r="G71" s="125">
        <f>G72+G73+G74</f>
        <v>0</v>
      </c>
      <c r="H71" s="64"/>
    </row>
    <row r="72" spans="1:8" s="1" customFormat="1" ht="39.6">
      <c r="A72" s="49"/>
      <c r="B72" s="19" t="s">
        <v>215</v>
      </c>
      <c r="C72" s="22" t="s">
        <v>226</v>
      </c>
      <c r="D72" s="84"/>
      <c r="E72" s="84"/>
      <c r="F72" s="84"/>
      <c r="G72" s="84"/>
      <c r="H72" s="64" t="s">
        <v>290</v>
      </c>
    </row>
    <row r="73" spans="1:8" s="1" customFormat="1" ht="26.4">
      <c r="A73" s="49"/>
      <c r="B73" s="19" t="s">
        <v>216</v>
      </c>
      <c r="C73" s="22" t="s">
        <v>227</v>
      </c>
      <c r="D73" s="84"/>
      <c r="E73" s="84"/>
      <c r="F73" s="84"/>
      <c r="G73" s="84"/>
      <c r="H73" s="64" t="s">
        <v>366</v>
      </c>
    </row>
    <row r="74" spans="1:8" s="1" customFormat="1" ht="27" customHeight="1">
      <c r="A74" s="49"/>
      <c r="B74" s="19" t="s">
        <v>140</v>
      </c>
      <c r="C74" s="22" t="s">
        <v>144</v>
      </c>
      <c r="D74" s="84"/>
      <c r="E74" s="84"/>
      <c r="F74" s="84"/>
      <c r="G74" s="84"/>
      <c r="H74" s="66" t="s">
        <v>291</v>
      </c>
    </row>
    <row r="75" spans="1:8" s="1" customFormat="1">
      <c r="A75" s="48" t="s">
        <v>315</v>
      </c>
      <c r="B75" s="43" t="s">
        <v>194</v>
      </c>
      <c r="C75" s="44" t="s">
        <v>40</v>
      </c>
      <c r="D75" s="85">
        <f>D76+D77</f>
        <v>0</v>
      </c>
      <c r="E75" s="85">
        <f>E76+E77</f>
        <v>0</v>
      </c>
      <c r="F75" s="85">
        <f>F76+F77</f>
        <v>0</v>
      </c>
      <c r="G75" s="85">
        <f>G76+G77</f>
        <v>0</v>
      </c>
      <c r="H75" s="64"/>
    </row>
    <row r="76" spans="1:8" s="1" customFormat="1">
      <c r="A76" s="50"/>
      <c r="B76" s="26" t="s">
        <v>121</v>
      </c>
      <c r="C76" s="27" t="s">
        <v>228</v>
      </c>
      <c r="D76" s="126"/>
      <c r="E76" s="126"/>
      <c r="F76" s="126"/>
      <c r="G76" s="126"/>
      <c r="H76" s="73" t="s">
        <v>292</v>
      </c>
    </row>
    <row r="77" spans="1:8" s="1" customFormat="1">
      <c r="A77" s="49"/>
      <c r="B77" s="19" t="s">
        <v>232</v>
      </c>
      <c r="C77" s="22"/>
      <c r="D77" s="124"/>
      <c r="E77" s="124"/>
      <c r="F77" s="124"/>
      <c r="G77" s="124"/>
      <c r="H77" s="66"/>
    </row>
    <row r="78" spans="1:8" s="1" customFormat="1" ht="39.6">
      <c r="A78" s="49"/>
      <c r="B78" s="19" t="s">
        <v>215</v>
      </c>
      <c r="C78" s="22" t="s">
        <v>229</v>
      </c>
      <c r="D78" s="84" t="e">
        <f>D77/D202*D203</f>
        <v>#DIV/0!</v>
      </c>
      <c r="E78" s="84" t="e">
        <f>E77/E202*E203</f>
        <v>#DIV/0!</v>
      </c>
      <c r="F78" s="84" t="e">
        <f>F77/F202*F203</f>
        <v>#DIV/0!</v>
      </c>
      <c r="G78" s="84" t="e">
        <f>G77/G202*G203</f>
        <v>#DIV/0!</v>
      </c>
      <c r="H78" s="66" t="s">
        <v>290</v>
      </c>
    </row>
    <row r="79" spans="1:8" s="1" customFormat="1" ht="26.4">
      <c r="A79" s="49"/>
      <c r="B79" s="19" t="s">
        <v>216</v>
      </c>
      <c r="C79" s="22" t="s">
        <v>230</v>
      </c>
      <c r="D79" s="84" t="e">
        <f>D77/D202*D204</f>
        <v>#DIV/0!</v>
      </c>
      <c r="E79" s="84" t="e">
        <f>E77/E202*E204</f>
        <v>#DIV/0!</v>
      </c>
      <c r="F79" s="84" t="e">
        <f>F77/F202*F204</f>
        <v>#DIV/0!</v>
      </c>
      <c r="G79" s="84" t="e">
        <f>G77/G202*G204</f>
        <v>#DIV/0!</v>
      </c>
      <c r="H79" s="64" t="s">
        <v>366</v>
      </c>
    </row>
    <row r="80" spans="1:8" s="1" customFormat="1" ht="28.5" customHeight="1">
      <c r="A80" s="49"/>
      <c r="B80" s="19" t="s">
        <v>192</v>
      </c>
      <c r="C80" s="22" t="s">
        <v>231</v>
      </c>
      <c r="D80" s="84" t="e">
        <f>D77/D202*D205</f>
        <v>#DIV/0!</v>
      </c>
      <c r="E80" s="84" t="e">
        <f>E77/E202*E205</f>
        <v>#DIV/0!</v>
      </c>
      <c r="F80" s="84" t="e">
        <f>F77/F202*F205</f>
        <v>#DIV/0!</v>
      </c>
      <c r="G80" s="84" t="e">
        <f>G77/G202*G205</f>
        <v>#DIV/0!</v>
      </c>
      <c r="H80" s="66" t="s">
        <v>291</v>
      </c>
    </row>
    <row r="81" spans="1:8" s="1" customFormat="1">
      <c r="A81" s="48" t="s">
        <v>317</v>
      </c>
      <c r="B81" s="43" t="s">
        <v>195</v>
      </c>
      <c r="C81" s="60" t="s">
        <v>41</v>
      </c>
      <c r="D81" s="125"/>
      <c r="E81" s="125"/>
      <c r="F81" s="125"/>
      <c r="G81" s="125"/>
      <c r="H81" s="64"/>
    </row>
    <row r="82" spans="1:8" s="1" customFormat="1" ht="39.6">
      <c r="A82" s="49"/>
      <c r="B82" s="19" t="s">
        <v>215</v>
      </c>
      <c r="C82" s="20" t="s">
        <v>233</v>
      </c>
      <c r="D82" s="84" t="e">
        <f>D81/D202*D203</f>
        <v>#DIV/0!</v>
      </c>
      <c r="E82" s="84" t="e">
        <f>E81/E202*E203</f>
        <v>#DIV/0!</v>
      </c>
      <c r="F82" s="84" t="e">
        <f>F81/F202*F203</f>
        <v>#DIV/0!</v>
      </c>
      <c r="G82" s="84" t="e">
        <f>G81/G202*G203</f>
        <v>#DIV/0!</v>
      </c>
      <c r="H82" s="64" t="s">
        <v>290</v>
      </c>
    </row>
    <row r="83" spans="1:8" s="1" customFormat="1" ht="26.4">
      <c r="A83" s="49"/>
      <c r="B83" s="19" t="s">
        <v>216</v>
      </c>
      <c r="C83" s="20" t="s">
        <v>234</v>
      </c>
      <c r="D83" s="84" t="e">
        <f>D81/D202*D204</f>
        <v>#DIV/0!</v>
      </c>
      <c r="E83" s="84" t="e">
        <f>E81/E202*E204</f>
        <v>#DIV/0!</v>
      </c>
      <c r="F83" s="84" t="e">
        <f>F81/F202*F204</f>
        <v>#DIV/0!</v>
      </c>
      <c r="G83" s="84" t="e">
        <f>G81/G202*G204</f>
        <v>#DIV/0!</v>
      </c>
      <c r="H83" s="64" t="s">
        <v>366</v>
      </c>
    </row>
    <row r="84" spans="1:8" s="1" customFormat="1">
      <c r="A84" s="49"/>
      <c r="B84" s="19" t="s">
        <v>140</v>
      </c>
      <c r="C84" s="20" t="s">
        <v>145</v>
      </c>
      <c r="D84" s="84" t="e">
        <f>D81/D202*D205</f>
        <v>#DIV/0!</v>
      </c>
      <c r="E84" s="84" t="e">
        <f>E81/E202*E205</f>
        <v>#DIV/0!</v>
      </c>
      <c r="F84" s="84" t="e">
        <f>F81/F202*F205</f>
        <v>#DIV/0!</v>
      </c>
      <c r="G84" s="84" t="e">
        <f>G81/G202*G205</f>
        <v>#DIV/0!</v>
      </c>
      <c r="H84" s="66" t="s">
        <v>291</v>
      </c>
    </row>
    <row r="85" spans="1:8" s="1" customFormat="1">
      <c r="A85" s="48" t="s">
        <v>4</v>
      </c>
      <c r="B85" s="43" t="s">
        <v>196</v>
      </c>
      <c r="C85" s="44" t="s">
        <v>42</v>
      </c>
      <c r="D85" s="85">
        <f>D86+D90+D96+D100+D101+D102+D103+D104+D105+D109</f>
        <v>0</v>
      </c>
      <c r="E85" s="85">
        <f>E86+E90+E96+E100+E101+E102+E103+E104+E105+E109</f>
        <v>0</v>
      </c>
      <c r="F85" s="85">
        <f>F86+F90+F96+F100+F101+F102+F103+F104+F105+F109</f>
        <v>0</v>
      </c>
      <c r="G85" s="85">
        <f>G86+G90+G96+G100+G101+G102+G103+G104+G105+G109</f>
        <v>0</v>
      </c>
      <c r="H85" s="64"/>
    </row>
    <row r="86" spans="1:8" s="1" customFormat="1">
      <c r="A86" s="48" t="s">
        <v>318</v>
      </c>
      <c r="B86" s="19" t="s">
        <v>43</v>
      </c>
      <c r="C86" s="22" t="s">
        <v>44</v>
      </c>
      <c r="D86" s="124"/>
      <c r="E86" s="124"/>
      <c r="F86" s="124"/>
      <c r="G86" s="124"/>
      <c r="H86" s="64"/>
    </row>
    <row r="87" spans="1:8" s="1" customFormat="1" ht="39.6">
      <c r="A87" s="49"/>
      <c r="B87" s="19" t="s">
        <v>215</v>
      </c>
      <c r="C87" s="22" t="s">
        <v>235</v>
      </c>
      <c r="D87" s="84" t="e">
        <f>D86/D202*D203</f>
        <v>#DIV/0!</v>
      </c>
      <c r="E87" s="84" t="e">
        <f>E86/E202*E203</f>
        <v>#DIV/0!</v>
      </c>
      <c r="F87" s="84" t="e">
        <f>F86/F202*F203</f>
        <v>#DIV/0!</v>
      </c>
      <c r="G87" s="84" t="e">
        <f>G86/G202*G203</f>
        <v>#DIV/0!</v>
      </c>
      <c r="H87" s="64" t="s">
        <v>290</v>
      </c>
    </row>
    <row r="88" spans="1:8" s="1" customFormat="1" ht="26.4">
      <c r="A88" s="49"/>
      <c r="B88" s="19" t="s">
        <v>216</v>
      </c>
      <c r="C88" s="22" t="s">
        <v>236</v>
      </c>
      <c r="D88" s="84" t="e">
        <f>D86/D202*D204</f>
        <v>#DIV/0!</v>
      </c>
      <c r="E88" s="84" t="e">
        <f>E86/E202*E204</f>
        <v>#DIV/0!</v>
      </c>
      <c r="F88" s="84" t="e">
        <f>F86/F202*F204</f>
        <v>#DIV/0!</v>
      </c>
      <c r="G88" s="84" t="e">
        <f>G86/G202*G204</f>
        <v>#DIV/0!</v>
      </c>
      <c r="H88" s="64" t="s">
        <v>366</v>
      </c>
    </row>
    <row r="89" spans="1:8" s="1" customFormat="1">
      <c r="A89" s="49"/>
      <c r="B89" s="19" t="s">
        <v>140</v>
      </c>
      <c r="C89" s="22">
        <v>1020013</v>
      </c>
      <c r="D89" s="84" t="e">
        <f>D86/D202*D205</f>
        <v>#DIV/0!</v>
      </c>
      <c r="E89" s="84" t="e">
        <f>E86/E202*E205</f>
        <v>#DIV/0!</v>
      </c>
      <c r="F89" s="84" t="e">
        <f>F86/F202*F205</f>
        <v>#DIV/0!</v>
      </c>
      <c r="G89" s="84" t="e">
        <f>G86/G202*G205</f>
        <v>#DIV/0!</v>
      </c>
      <c r="H89" s="66" t="s">
        <v>291</v>
      </c>
    </row>
    <row r="90" spans="1:8" s="1" customFormat="1">
      <c r="A90" s="48" t="s">
        <v>319</v>
      </c>
      <c r="B90" s="19" t="s">
        <v>45</v>
      </c>
      <c r="C90" s="22" t="s">
        <v>46</v>
      </c>
      <c r="D90" s="84">
        <f>D91+D92</f>
        <v>0</v>
      </c>
      <c r="E90" s="84">
        <f>E91+E92</f>
        <v>0</v>
      </c>
      <c r="F90" s="84">
        <f>F91+F92</f>
        <v>0</v>
      </c>
      <c r="G90" s="84">
        <f>G91+G92</f>
        <v>0</v>
      </c>
      <c r="H90" s="64"/>
    </row>
    <row r="91" spans="1:8" s="1" customFormat="1">
      <c r="A91" s="50"/>
      <c r="B91" s="26" t="s">
        <v>406</v>
      </c>
      <c r="C91" s="27">
        <v>1020021</v>
      </c>
      <c r="D91" s="126"/>
      <c r="E91" s="126"/>
      <c r="F91" s="126"/>
      <c r="G91" s="126"/>
      <c r="H91" s="73" t="s">
        <v>292</v>
      </c>
    </row>
    <row r="92" spans="1:8" s="1" customFormat="1">
      <c r="A92" s="49"/>
      <c r="B92" s="19" t="s">
        <v>237</v>
      </c>
      <c r="C92" s="22"/>
      <c r="D92" s="124"/>
      <c r="E92" s="124"/>
      <c r="F92" s="124"/>
      <c r="G92" s="124"/>
      <c r="H92" s="66"/>
    </row>
    <row r="93" spans="1:8" s="1" customFormat="1" ht="39.6">
      <c r="A93" s="49"/>
      <c r="B93" s="19" t="s">
        <v>215</v>
      </c>
      <c r="C93" s="22" t="s">
        <v>238</v>
      </c>
      <c r="D93" s="84" t="e">
        <f>D92/D202*D203</f>
        <v>#DIV/0!</v>
      </c>
      <c r="E93" s="84" t="e">
        <f>E92/E202*E203</f>
        <v>#DIV/0!</v>
      </c>
      <c r="F93" s="84" t="e">
        <f>F92/F202*F203</f>
        <v>#DIV/0!</v>
      </c>
      <c r="G93" s="84" t="e">
        <f>G92/G202*G203</f>
        <v>#DIV/0!</v>
      </c>
      <c r="H93" s="64" t="s">
        <v>290</v>
      </c>
    </row>
    <row r="94" spans="1:8" s="1" customFormat="1" ht="26.4">
      <c r="A94" s="49"/>
      <c r="B94" s="19" t="s">
        <v>216</v>
      </c>
      <c r="C94" s="22" t="s">
        <v>239</v>
      </c>
      <c r="D94" s="84" t="e">
        <f>D92/D202*D204</f>
        <v>#DIV/0!</v>
      </c>
      <c r="E94" s="84" t="e">
        <f>E92/E202*E204</f>
        <v>#DIV/0!</v>
      </c>
      <c r="F94" s="84" t="e">
        <f>F92/F202*F204</f>
        <v>#DIV/0!</v>
      </c>
      <c r="G94" s="84" t="e">
        <f>G92/G202*G204</f>
        <v>#DIV/0!</v>
      </c>
      <c r="H94" s="64" t="s">
        <v>366</v>
      </c>
    </row>
    <row r="95" spans="1:8" s="1" customFormat="1">
      <c r="A95" s="49"/>
      <c r="B95" s="19" t="s">
        <v>140</v>
      </c>
      <c r="C95" s="22">
        <v>1020023</v>
      </c>
      <c r="D95" s="84" t="e">
        <f>D92/D202*D205</f>
        <v>#DIV/0!</v>
      </c>
      <c r="E95" s="84" t="e">
        <f>E92/E202*E205</f>
        <v>#DIV/0!</v>
      </c>
      <c r="F95" s="84" t="e">
        <f>F92/F202*F205</f>
        <v>#DIV/0!</v>
      </c>
      <c r="G95" s="84" t="e">
        <f>G92/G202*G205</f>
        <v>#DIV/0!</v>
      </c>
      <c r="H95" s="66" t="s">
        <v>291</v>
      </c>
    </row>
    <row r="96" spans="1:8" s="1" customFormat="1">
      <c r="A96" s="48" t="s">
        <v>320</v>
      </c>
      <c r="B96" s="19" t="s">
        <v>47</v>
      </c>
      <c r="C96" s="22" t="s">
        <v>48</v>
      </c>
      <c r="D96" s="124">
        <f>D97+D98+D99</f>
        <v>0</v>
      </c>
      <c r="E96" s="124">
        <f>E97+E98+E99</f>
        <v>0</v>
      </c>
      <c r="F96" s="124">
        <f>F97+F98+F99</f>
        <v>0</v>
      </c>
      <c r="G96" s="124">
        <f>G97+G98+G99</f>
        <v>0</v>
      </c>
      <c r="H96" s="64"/>
    </row>
    <row r="97" spans="1:9" s="1" customFormat="1" ht="39.6">
      <c r="A97" s="49"/>
      <c r="B97" s="19" t="s">
        <v>215</v>
      </c>
      <c r="C97" s="22" t="s">
        <v>240</v>
      </c>
      <c r="D97" s="84"/>
      <c r="E97" s="84"/>
      <c r="F97" s="84"/>
      <c r="G97" s="84"/>
      <c r="H97" s="64" t="s">
        <v>290</v>
      </c>
    </row>
    <row r="98" spans="1:9" s="1" customFormat="1" ht="26.4">
      <c r="A98" s="49"/>
      <c r="B98" s="19" t="s">
        <v>216</v>
      </c>
      <c r="C98" s="22" t="s">
        <v>241</v>
      </c>
      <c r="D98" s="84"/>
      <c r="E98" s="84"/>
      <c r="F98" s="84"/>
      <c r="G98" s="84"/>
      <c r="H98" s="64" t="s">
        <v>366</v>
      </c>
    </row>
    <row r="99" spans="1:9" s="1" customFormat="1">
      <c r="A99" s="49"/>
      <c r="B99" s="19" t="s">
        <v>140</v>
      </c>
      <c r="C99" s="22">
        <v>1020032</v>
      </c>
      <c r="D99" s="84"/>
      <c r="E99" s="84"/>
      <c r="F99" s="84"/>
      <c r="G99" s="84"/>
      <c r="H99" s="66" t="s">
        <v>291</v>
      </c>
    </row>
    <row r="100" spans="1:9" s="1" customFormat="1">
      <c r="A100" s="61" t="s">
        <v>321</v>
      </c>
      <c r="B100" s="26" t="s">
        <v>202</v>
      </c>
      <c r="C100" s="27" t="s">
        <v>49</v>
      </c>
      <c r="D100" s="126"/>
      <c r="E100" s="126"/>
      <c r="F100" s="126"/>
      <c r="G100" s="126"/>
      <c r="H100" s="73" t="s">
        <v>292</v>
      </c>
      <c r="I100" s="149"/>
    </row>
    <row r="101" spans="1:9" s="1" customFormat="1">
      <c r="A101" s="61" t="s">
        <v>322</v>
      </c>
      <c r="B101" s="26" t="s">
        <v>203</v>
      </c>
      <c r="C101" s="27" t="s">
        <v>50</v>
      </c>
      <c r="D101" s="126"/>
      <c r="E101" s="126"/>
      <c r="F101" s="126"/>
      <c r="G101" s="126"/>
      <c r="H101" s="73" t="s">
        <v>292</v>
      </c>
      <c r="I101" s="149"/>
    </row>
    <row r="102" spans="1:9" s="1" customFormat="1" ht="26.4">
      <c r="A102" s="48" t="s">
        <v>323</v>
      </c>
      <c r="B102" s="19" t="s">
        <v>51</v>
      </c>
      <c r="C102" s="22" t="s">
        <v>52</v>
      </c>
      <c r="D102" s="124"/>
      <c r="E102" s="124"/>
      <c r="F102" s="124"/>
      <c r="G102" s="124"/>
      <c r="H102" s="64" t="s">
        <v>293</v>
      </c>
    </row>
    <row r="103" spans="1:9" s="1" customFormat="1" ht="35.25" customHeight="1">
      <c r="A103" s="48" t="s">
        <v>324</v>
      </c>
      <c r="B103" s="19" t="s">
        <v>53</v>
      </c>
      <c r="C103" s="22" t="s">
        <v>54</v>
      </c>
      <c r="D103" s="124"/>
      <c r="E103" s="124"/>
      <c r="F103" s="124"/>
      <c r="G103" s="124"/>
      <c r="H103" s="64" t="s">
        <v>293</v>
      </c>
      <c r="I103" s="68"/>
    </row>
    <row r="104" spans="1:9" s="1" customFormat="1" ht="39.6">
      <c r="A104" s="48" t="s">
        <v>325</v>
      </c>
      <c r="B104" s="19" t="s">
        <v>367</v>
      </c>
      <c r="C104" s="22" t="s">
        <v>55</v>
      </c>
      <c r="D104" s="124"/>
      <c r="E104" s="124"/>
      <c r="F104" s="124"/>
      <c r="G104" s="124"/>
      <c r="H104" s="64" t="s">
        <v>368</v>
      </c>
    </row>
    <row r="105" spans="1:9" customFormat="1">
      <c r="A105" s="58" t="s">
        <v>326</v>
      </c>
      <c r="B105" s="12" t="s">
        <v>56</v>
      </c>
      <c r="C105" s="28" t="s">
        <v>57</v>
      </c>
      <c r="D105" s="127">
        <f>D106+D107+D108</f>
        <v>0</v>
      </c>
      <c r="E105" s="127">
        <f>E106+E107+E108</f>
        <v>0</v>
      </c>
      <c r="F105" s="127">
        <f>F106+F107+F108</f>
        <v>0</v>
      </c>
      <c r="G105" s="127">
        <f>G106+G107+G108</f>
        <v>0</v>
      </c>
      <c r="H105" s="72"/>
    </row>
    <row r="106" spans="1:9" customFormat="1" ht="39.6">
      <c r="A106" s="46"/>
      <c r="B106" s="19" t="s">
        <v>215</v>
      </c>
      <c r="C106" s="28" t="s">
        <v>242</v>
      </c>
      <c r="D106" s="86"/>
      <c r="E106" s="86"/>
      <c r="F106" s="86"/>
      <c r="G106" s="86"/>
      <c r="H106" s="64" t="s">
        <v>290</v>
      </c>
    </row>
    <row r="107" spans="1:9" customFormat="1" ht="26.4">
      <c r="A107" s="46"/>
      <c r="B107" s="19" t="s">
        <v>216</v>
      </c>
      <c r="C107" s="28" t="s">
        <v>243</v>
      </c>
      <c r="D107" s="86"/>
      <c r="E107" s="86"/>
      <c r="F107" s="86"/>
      <c r="G107" s="86"/>
      <c r="H107" s="64" t="s">
        <v>366</v>
      </c>
    </row>
    <row r="108" spans="1:9" customFormat="1">
      <c r="A108" s="46"/>
      <c r="B108" s="12" t="s">
        <v>140</v>
      </c>
      <c r="C108" s="28">
        <v>1020092</v>
      </c>
      <c r="D108" s="86"/>
      <c r="E108" s="86"/>
      <c r="F108" s="86"/>
      <c r="G108" s="86"/>
      <c r="H108" s="66" t="s">
        <v>291</v>
      </c>
    </row>
    <row r="109" spans="1:9" customFormat="1" ht="26.4">
      <c r="A109" s="48" t="s">
        <v>327</v>
      </c>
      <c r="B109" s="19" t="s">
        <v>274</v>
      </c>
      <c r="C109" s="24">
        <v>102010</v>
      </c>
      <c r="D109" s="124"/>
      <c r="E109" s="124"/>
      <c r="F109" s="124"/>
      <c r="G109" s="124"/>
      <c r="H109" s="64"/>
      <c r="I109" s="3"/>
    </row>
    <row r="110" spans="1:9" customFormat="1" ht="39.6">
      <c r="A110" s="49"/>
      <c r="B110" s="19" t="s">
        <v>215</v>
      </c>
      <c r="C110" s="24" t="s">
        <v>294</v>
      </c>
      <c r="D110" s="84" t="e">
        <f>D109/D202*D203</f>
        <v>#DIV/0!</v>
      </c>
      <c r="E110" s="84" t="e">
        <f>E109/E202*E203</f>
        <v>#DIV/0!</v>
      </c>
      <c r="F110" s="84" t="e">
        <f>F109/F202*F203</f>
        <v>#DIV/0!</v>
      </c>
      <c r="G110" s="84" t="e">
        <f>G109/G202*G203</f>
        <v>#DIV/0!</v>
      </c>
      <c r="H110" s="64" t="s">
        <v>290</v>
      </c>
      <c r="I110" s="3"/>
    </row>
    <row r="111" spans="1:9" customFormat="1" ht="26.4">
      <c r="A111" s="49"/>
      <c r="B111" s="19" t="s">
        <v>216</v>
      </c>
      <c r="C111" s="24" t="s">
        <v>295</v>
      </c>
      <c r="D111" s="84" t="e">
        <f>D109/D202*D204</f>
        <v>#DIV/0!</v>
      </c>
      <c r="E111" s="84" t="e">
        <f>E109/E202*E204</f>
        <v>#DIV/0!</v>
      </c>
      <c r="F111" s="84" t="e">
        <f>F109/F202*F204</f>
        <v>#DIV/0!</v>
      </c>
      <c r="G111" s="84" t="e">
        <f>G109/G202*G204</f>
        <v>#DIV/0!</v>
      </c>
      <c r="H111" s="64" t="s">
        <v>366</v>
      </c>
      <c r="I111" s="3"/>
    </row>
    <row r="112" spans="1:9" customFormat="1">
      <c r="A112" s="49"/>
      <c r="B112" s="12" t="s">
        <v>140</v>
      </c>
      <c r="C112" s="24">
        <v>1020102</v>
      </c>
      <c r="D112" s="84" t="e">
        <f>D109/D202*D205</f>
        <v>#DIV/0!</v>
      </c>
      <c r="E112" s="84" t="e">
        <f>E109/E202*E205</f>
        <v>#DIV/0!</v>
      </c>
      <c r="F112" s="84" t="e">
        <f>F109/F202*F205</f>
        <v>#DIV/0!</v>
      </c>
      <c r="G112" s="84" t="e">
        <f>G109/G202*G205</f>
        <v>#DIV/0!</v>
      </c>
      <c r="H112" s="66" t="s">
        <v>291</v>
      </c>
      <c r="I112" s="3"/>
    </row>
    <row r="113" spans="1:8" s="1" customFormat="1">
      <c r="A113" s="48" t="s">
        <v>328</v>
      </c>
      <c r="B113" s="43" t="s">
        <v>58</v>
      </c>
      <c r="C113" s="44" t="s">
        <v>59</v>
      </c>
      <c r="D113" s="85">
        <f>D114+D118+D122</f>
        <v>0</v>
      </c>
      <c r="E113" s="85">
        <f>E114+E118+E122</f>
        <v>0</v>
      </c>
      <c r="F113" s="85">
        <f>F114+F118+F122</f>
        <v>0</v>
      </c>
      <c r="G113" s="85">
        <f>G114+G118+G122</f>
        <v>0</v>
      </c>
      <c r="H113" s="64"/>
    </row>
    <row r="114" spans="1:8" s="1" customFormat="1">
      <c r="A114" s="48" t="s">
        <v>329</v>
      </c>
      <c r="B114" s="19" t="s">
        <v>60</v>
      </c>
      <c r="C114" s="22" t="s">
        <v>61</v>
      </c>
      <c r="D114" s="124"/>
      <c r="E114" s="124"/>
      <c r="F114" s="124"/>
      <c r="G114" s="124"/>
      <c r="H114" s="64"/>
    </row>
    <row r="115" spans="1:8" s="1" customFormat="1" ht="39.6">
      <c r="A115" s="49"/>
      <c r="B115" s="19" t="s">
        <v>215</v>
      </c>
      <c r="C115" s="22" t="s">
        <v>244</v>
      </c>
      <c r="D115" s="84" t="e">
        <f>D114/D202*D203</f>
        <v>#DIV/0!</v>
      </c>
      <c r="E115" s="84" t="e">
        <f>E114/E202*E203</f>
        <v>#DIV/0!</v>
      </c>
      <c r="F115" s="84" t="e">
        <f>F114/F202*F203</f>
        <v>#DIV/0!</v>
      </c>
      <c r="G115" s="84" t="e">
        <f>G114/G202*G203</f>
        <v>#DIV/0!</v>
      </c>
      <c r="H115" s="64" t="s">
        <v>290</v>
      </c>
    </row>
    <row r="116" spans="1:8" s="1" customFormat="1" ht="26.4">
      <c r="A116" s="49"/>
      <c r="B116" s="19" t="s">
        <v>216</v>
      </c>
      <c r="C116" s="22" t="s">
        <v>245</v>
      </c>
      <c r="D116" s="84" t="e">
        <f>D114/D202*D204</f>
        <v>#DIV/0!</v>
      </c>
      <c r="E116" s="84" t="e">
        <f>E114/E202*E204</f>
        <v>#DIV/0!</v>
      </c>
      <c r="F116" s="84" t="e">
        <f>F114/F202*F204</f>
        <v>#DIV/0!</v>
      </c>
      <c r="G116" s="84" t="e">
        <f>G114/G202*G204</f>
        <v>#DIV/0!</v>
      </c>
      <c r="H116" s="64" t="s">
        <v>366</v>
      </c>
    </row>
    <row r="117" spans="1:8" s="1" customFormat="1">
      <c r="A117" s="49"/>
      <c r="B117" s="19" t="s">
        <v>140</v>
      </c>
      <c r="C117" s="22">
        <v>103012</v>
      </c>
      <c r="D117" s="84" t="e">
        <f>D114/D202*D205</f>
        <v>#DIV/0!</v>
      </c>
      <c r="E117" s="84" t="e">
        <f>E114/E202*E205</f>
        <v>#DIV/0!</v>
      </c>
      <c r="F117" s="84" t="e">
        <f>F114/F202*F205</f>
        <v>#DIV/0!</v>
      </c>
      <c r="G117" s="84" t="e">
        <f>G114/G202*G205</f>
        <v>#DIV/0!</v>
      </c>
      <c r="H117" s="66" t="s">
        <v>291</v>
      </c>
    </row>
    <row r="118" spans="1:8" s="1" customFormat="1">
      <c r="A118" s="48" t="s">
        <v>330</v>
      </c>
      <c r="B118" s="19" t="s">
        <v>62</v>
      </c>
      <c r="C118" s="22" t="s">
        <v>63</v>
      </c>
      <c r="D118" s="124"/>
      <c r="E118" s="124"/>
      <c r="F118" s="124"/>
      <c r="G118" s="124"/>
      <c r="H118" s="64"/>
    </row>
    <row r="119" spans="1:8" s="1" customFormat="1" ht="39.6">
      <c r="A119" s="49"/>
      <c r="B119" s="19" t="s">
        <v>215</v>
      </c>
      <c r="C119" s="22" t="s">
        <v>246</v>
      </c>
      <c r="D119" s="84" t="e">
        <f>D118/D202*D203</f>
        <v>#DIV/0!</v>
      </c>
      <c r="E119" s="84" t="e">
        <f>E118/E202*E203</f>
        <v>#DIV/0!</v>
      </c>
      <c r="F119" s="84" t="e">
        <f>F118/F202*F203</f>
        <v>#DIV/0!</v>
      </c>
      <c r="G119" s="84" t="e">
        <f>G118/G202*G203</f>
        <v>#DIV/0!</v>
      </c>
      <c r="H119" s="64" t="s">
        <v>290</v>
      </c>
    </row>
    <row r="120" spans="1:8" s="1" customFormat="1" ht="26.4">
      <c r="A120" s="49"/>
      <c r="B120" s="19" t="s">
        <v>216</v>
      </c>
      <c r="C120" s="22" t="s">
        <v>247</v>
      </c>
      <c r="D120" s="84" t="e">
        <f>D118/D202*D204</f>
        <v>#DIV/0!</v>
      </c>
      <c r="E120" s="84" t="e">
        <f>E118/E202*E204</f>
        <v>#DIV/0!</v>
      </c>
      <c r="F120" s="84" t="e">
        <f>F118/F202*F204</f>
        <v>#DIV/0!</v>
      </c>
      <c r="G120" s="84" t="e">
        <f>G118/G202*G204</f>
        <v>#DIV/0!</v>
      </c>
      <c r="H120" s="64" t="s">
        <v>366</v>
      </c>
    </row>
    <row r="121" spans="1:8" s="1" customFormat="1">
      <c r="A121" s="49"/>
      <c r="B121" s="19" t="s">
        <v>140</v>
      </c>
      <c r="C121" s="22">
        <v>103022</v>
      </c>
      <c r="D121" s="84" t="e">
        <f>D118/D202*D205</f>
        <v>#DIV/0!</v>
      </c>
      <c r="E121" s="84" t="e">
        <f>E118/E202*E205</f>
        <v>#DIV/0!</v>
      </c>
      <c r="F121" s="84" t="e">
        <f>F118/F202*F205</f>
        <v>#DIV/0!</v>
      </c>
      <c r="G121" s="84" t="e">
        <f>G118/G202*G205</f>
        <v>#DIV/0!</v>
      </c>
      <c r="H121" s="66" t="s">
        <v>291</v>
      </c>
    </row>
    <row r="122" spans="1:8" s="1" customFormat="1">
      <c r="A122" s="48" t="s">
        <v>331</v>
      </c>
      <c r="B122" s="19" t="s">
        <v>64</v>
      </c>
      <c r="C122" s="22" t="s">
        <v>65</v>
      </c>
      <c r="D122" s="124"/>
      <c r="E122" s="124"/>
      <c r="F122" s="124"/>
      <c r="G122" s="124"/>
      <c r="H122" s="64"/>
    </row>
    <row r="123" spans="1:8" s="1" customFormat="1" ht="39.6">
      <c r="A123" s="49"/>
      <c r="B123" s="19" t="s">
        <v>215</v>
      </c>
      <c r="C123" s="22" t="s">
        <v>248</v>
      </c>
      <c r="D123" s="84" t="e">
        <f>D122/D202*D203</f>
        <v>#DIV/0!</v>
      </c>
      <c r="E123" s="84" t="e">
        <f>E122/E202*E203</f>
        <v>#DIV/0!</v>
      </c>
      <c r="F123" s="84" t="e">
        <f>F122/F202*F203</f>
        <v>#DIV/0!</v>
      </c>
      <c r="G123" s="84" t="e">
        <f>G122/G202*G203</f>
        <v>#DIV/0!</v>
      </c>
      <c r="H123" s="64" t="s">
        <v>290</v>
      </c>
    </row>
    <row r="124" spans="1:8" s="1" customFormat="1" ht="26.4">
      <c r="A124" s="49"/>
      <c r="B124" s="19" t="s">
        <v>216</v>
      </c>
      <c r="C124" s="22" t="s">
        <v>249</v>
      </c>
      <c r="D124" s="84" t="e">
        <f>D122/D202*D204</f>
        <v>#DIV/0!</v>
      </c>
      <c r="E124" s="84" t="e">
        <f>E122/E202*E204</f>
        <v>#DIV/0!</v>
      </c>
      <c r="F124" s="84" t="e">
        <f>F122/F202*F204</f>
        <v>#DIV/0!</v>
      </c>
      <c r="G124" s="84" t="e">
        <f>G122/G202*G204</f>
        <v>#DIV/0!</v>
      </c>
      <c r="H124" s="64" t="s">
        <v>366</v>
      </c>
    </row>
    <row r="125" spans="1:8" s="1" customFormat="1">
      <c r="A125" s="49"/>
      <c r="B125" s="19" t="s">
        <v>140</v>
      </c>
      <c r="C125" s="22">
        <v>103032</v>
      </c>
      <c r="D125" s="84" t="e">
        <f>D122/D202*D205</f>
        <v>#DIV/0!</v>
      </c>
      <c r="E125" s="84" t="e">
        <f>E122/E202*E205</f>
        <v>#DIV/0!</v>
      </c>
      <c r="F125" s="84" t="e">
        <f>F122/F202*F205</f>
        <v>#DIV/0!</v>
      </c>
      <c r="G125" s="84" t="e">
        <f>G122/G202*G205</f>
        <v>#DIV/0!</v>
      </c>
      <c r="H125" s="66" t="s">
        <v>291</v>
      </c>
    </row>
    <row r="126" spans="1:8" s="1" customFormat="1">
      <c r="A126" s="48" t="s">
        <v>332</v>
      </c>
      <c r="B126" s="43" t="s">
        <v>197</v>
      </c>
      <c r="C126" s="44" t="s">
        <v>66</v>
      </c>
      <c r="D126" s="125">
        <f>D127+D128+D129</f>
        <v>0</v>
      </c>
      <c r="E126" s="125">
        <f>E127+E128+E129</f>
        <v>0</v>
      </c>
      <c r="F126" s="125">
        <f>F127+F128+F129</f>
        <v>0</v>
      </c>
      <c r="G126" s="125">
        <f>G127+G128+G129</f>
        <v>0</v>
      </c>
      <c r="H126" s="64"/>
    </row>
    <row r="127" spans="1:8" s="1" customFormat="1" ht="39.6">
      <c r="A127" s="49"/>
      <c r="B127" s="19" t="s">
        <v>215</v>
      </c>
      <c r="C127" s="22" t="s">
        <v>250</v>
      </c>
      <c r="D127" s="84"/>
      <c r="E127" s="84"/>
      <c r="F127" s="84"/>
      <c r="G127" s="84"/>
      <c r="H127" s="64" t="s">
        <v>290</v>
      </c>
    </row>
    <row r="128" spans="1:8" s="1" customFormat="1" ht="26.4">
      <c r="A128" s="49"/>
      <c r="B128" s="19" t="s">
        <v>216</v>
      </c>
      <c r="C128" s="22" t="s">
        <v>251</v>
      </c>
      <c r="D128" s="84"/>
      <c r="E128" s="84"/>
      <c r="F128" s="84"/>
      <c r="G128" s="84"/>
      <c r="H128" s="64" t="s">
        <v>366</v>
      </c>
    </row>
    <row r="129" spans="1:8" s="1" customFormat="1">
      <c r="A129" s="49"/>
      <c r="B129" s="19" t="s">
        <v>140</v>
      </c>
      <c r="C129" s="22" t="s">
        <v>147</v>
      </c>
      <c r="D129" s="84"/>
      <c r="E129" s="84"/>
      <c r="F129" s="84"/>
      <c r="G129" s="84"/>
      <c r="H129" s="66" t="s">
        <v>291</v>
      </c>
    </row>
    <row r="130" spans="1:8" s="1" customFormat="1">
      <c r="A130" s="48" t="s">
        <v>333</v>
      </c>
      <c r="B130" s="43" t="s">
        <v>334</v>
      </c>
      <c r="C130" s="44" t="s">
        <v>67</v>
      </c>
      <c r="D130" s="125">
        <f>D131+D132+D133</f>
        <v>0</v>
      </c>
      <c r="E130" s="125">
        <f>E131+E132+E133</f>
        <v>0</v>
      </c>
      <c r="F130" s="125">
        <f>F131+F132+F133</f>
        <v>0</v>
      </c>
      <c r="G130" s="125">
        <f>G131+G132+G133</f>
        <v>0</v>
      </c>
      <c r="H130" s="64"/>
    </row>
    <row r="131" spans="1:8" s="1" customFormat="1" ht="39.6">
      <c r="A131" s="49"/>
      <c r="B131" s="19" t="s">
        <v>215</v>
      </c>
      <c r="C131" s="22" t="s">
        <v>252</v>
      </c>
      <c r="D131" s="84"/>
      <c r="E131" s="84"/>
      <c r="F131" s="84"/>
      <c r="G131" s="84"/>
      <c r="H131" s="64" t="s">
        <v>290</v>
      </c>
    </row>
    <row r="132" spans="1:8" s="1" customFormat="1" ht="26.4">
      <c r="A132" s="49"/>
      <c r="B132" s="19" t="s">
        <v>216</v>
      </c>
      <c r="C132" s="22" t="s">
        <v>253</v>
      </c>
      <c r="D132" s="84"/>
      <c r="E132" s="84"/>
      <c r="F132" s="84"/>
      <c r="G132" s="84"/>
      <c r="H132" s="64" t="s">
        <v>366</v>
      </c>
    </row>
    <row r="133" spans="1:8" s="1" customFormat="1">
      <c r="A133" s="49"/>
      <c r="B133" s="19" t="s">
        <v>140</v>
      </c>
      <c r="C133" s="22" t="s">
        <v>148</v>
      </c>
      <c r="D133" s="84"/>
      <c r="E133" s="84"/>
      <c r="F133" s="84"/>
      <c r="G133" s="84"/>
      <c r="H133" s="66" t="s">
        <v>291</v>
      </c>
    </row>
    <row r="134" spans="1:8" s="1" customFormat="1" ht="32.25" customHeight="1">
      <c r="A134" s="48" t="s">
        <v>335</v>
      </c>
      <c r="B134" s="43" t="s">
        <v>68</v>
      </c>
      <c r="C134" s="44" t="s">
        <v>69</v>
      </c>
      <c r="D134" s="125"/>
      <c r="E134" s="125"/>
      <c r="F134" s="125"/>
      <c r="G134" s="125"/>
      <c r="H134" s="64" t="s">
        <v>290</v>
      </c>
    </row>
    <row r="135" spans="1:8" s="1" customFormat="1">
      <c r="A135" s="48" t="s">
        <v>336</v>
      </c>
      <c r="B135" s="43" t="s">
        <v>198</v>
      </c>
      <c r="C135" s="44" t="s">
        <v>70</v>
      </c>
      <c r="D135" s="125"/>
      <c r="E135" s="125"/>
      <c r="F135" s="125"/>
      <c r="G135" s="125"/>
      <c r="H135" s="64"/>
    </row>
    <row r="136" spans="1:8" s="1" customFormat="1" ht="39.6">
      <c r="A136" s="49"/>
      <c r="B136" s="19" t="s">
        <v>215</v>
      </c>
      <c r="C136" s="22" t="s">
        <v>254</v>
      </c>
      <c r="D136" s="84" t="e">
        <f>D135/D202*D203</f>
        <v>#DIV/0!</v>
      </c>
      <c r="E136" s="84" t="e">
        <f>E135/E202*E203</f>
        <v>#DIV/0!</v>
      </c>
      <c r="F136" s="84" t="e">
        <f>F135/F202*F203</f>
        <v>#DIV/0!</v>
      </c>
      <c r="G136" s="84" t="e">
        <f>G135/G202*G203</f>
        <v>#DIV/0!</v>
      </c>
      <c r="H136" s="64" t="s">
        <v>290</v>
      </c>
    </row>
    <row r="137" spans="1:8" s="1" customFormat="1" ht="26.4">
      <c r="A137" s="49"/>
      <c r="B137" s="19" t="s">
        <v>216</v>
      </c>
      <c r="C137" s="22" t="s">
        <v>255</v>
      </c>
      <c r="D137" s="84" t="e">
        <f>D135/D202*D204</f>
        <v>#DIV/0!</v>
      </c>
      <c r="E137" s="84" t="e">
        <f>E135/E202*E204</f>
        <v>#DIV/0!</v>
      </c>
      <c r="F137" s="84" t="e">
        <f>F135/F202*F204</f>
        <v>#DIV/0!</v>
      </c>
      <c r="G137" s="84" t="e">
        <f>G135/G202*G204</f>
        <v>#DIV/0!</v>
      </c>
      <c r="H137" s="64" t="s">
        <v>366</v>
      </c>
    </row>
    <row r="138" spans="1:8" s="1" customFormat="1">
      <c r="A138" s="49"/>
      <c r="B138" s="19" t="s">
        <v>140</v>
      </c>
      <c r="C138" s="22" t="s">
        <v>149</v>
      </c>
      <c r="D138" s="84" t="e">
        <f>D135/D202*D205</f>
        <v>#DIV/0!</v>
      </c>
      <c r="E138" s="84" t="e">
        <f>E135/E202*E205</f>
        <v>#DIV/0!</v>
      </c>
      <c r="F138" s="84" t="e">
        <f>F135/F202*F205</f>
        <v>#DIV/0!</v>
      </c>
      <c r="G138" s="84" t="e">
        <f>G135/G202*G205</f>
        <v>#DIV/0!</v>
      </c>
      <c r="H138" s="66" t="s">
        <v>291</v>
      </c>
    </row>
    <row r="139" spans="1:8" s="1" customFormat="1" ht="39.6">
      <c r="A139" s="48" t="s">
        <v>337</v>
      </c>
      <c r="B139" s="43" t="s">
        <v>338</v>
      </c>
      <c r="C139" s="44" t="s">
        <v>71</v>
      </c>
      <c r="D139" s="125"/>
      <c r="E139" s="125"/>
      <c r="F139" s="125"/>
      <c r="G139" s="125"/>
      <c r="H139" s="64" t="s">
        <v>369</v>
      </c>
    </row>
    <row r="140" spans="1:8" s="1" customFormat="1">
      <c r="A140" s="48" t="s">
        <v>339</v>
      </c>
      <c r="B140" s="43" t="s">
        <v>199</v>
      </c>
      <c r="C140" s="44" t="s">
        <v>72</v>
      </c>
      <c r="D140" s="85">
        <f>D141+D142+D143</f>
        <v>0</v>
      </c>
      <c r="E140" s="85">
        <f>E141+E142+E143</f>
        <v>0</v>
      </c>
      <c r="F140" s="85">
        <f>F141+F142+F143</f>
        <v>0</v>
      </c>
      <c r="G140" s="85">
        <f>G141+G142+G143</f>
        <v>0</v>
      </c>
      <c r="H140" s="64"/>
    </row>
    <row r="141" spans="1:8" s="1" customFormat="1" ht="39.6">
      <c r="A141" s="49"/>
      <c r="B141" s="19" t="s">
        <v>215</v>
      </c>
      <c r="C141" s="22" t="s">
        <v>256</v>
      </c>
      <c r="D141" s="124"/>
      <c r="E141" s="124"/>
      <c r="F141" s="124"/>
      <c r="G141" s="124"/>
      <c r="H141" s="64" t="s">
        <v>290</v>
      </c>
    </row>
    <row r="142" spans="1:8" s="1" customFormat="1" ht="26.4">
      <c r="A142" s="49"/>
      <c r="B142" s="19" t="s">
        <v>216</v>
      </c>
      <c r="C142" s="22" t="s">
        <v>257</v>
      </c>
      <c r="D142" s="124"/>
      <c r="E142" s="124"/>
      <c r="F142" s="124"/>
      <c r="G142" s="124"/>
      <c r="H142" s="64" t="s">
        <v>366</v>
      </c>
    </row>
    <row r="143" spans="1:8" s="1" customFormat="1">
      <c r="A143" s="49"/>
      <c r="B143" s="19" t="s">
        <v>140</v>
      </c>
      <c r="C143" s="22" t="s">
        <v>258</v>
      </c>
      <c r="D143" s="124"/>
      <c r="E143" s="124"/>
      <c r="F143" s="124"/>
      <c r="G143" s="124"/>
      <c r="H143" s="66" t="s">
        <v>291</v>
      </c>
    </row>
    <row r="144" spans="1:8" s="1" customFormat="1">
      <c r="A144" s="48" t="s">
        <v>340</v>
      </c>
      <c r="B144" s="43" t="s">
        <v>341</v>
      </c>
      <c r="C144" s="44" t="s">
        <v>73</v>
      </c>
      <c r="D144" s="125">
        <f>D145+D146+D147</f>
        <v>0</v>
      </c>
      <c r="E144" s="125">
        <f>E145+E146+E147</f>
        <v>0</v>
      </c>
      <c r="F144" s="125">
        <f>F145+F146+F147</f>
        <v>0</v>
      </c>
      <c r="G144" s="125">
        <f>G145+G146+G147</f>
        <v>0</v>
      </c>
      <c r="H144" s="64"/>
    </row>
    <row r="145" spans="1:8" s="1" customFormat="1" ht="39.6">
      <c r="A145" s="49"/>
      <c r="B145" s="19" t="s">
        <v>215</v>
      </c>
      <c r="C145" s="22" t="s">
        <v>259</v>
      </c>
      <c r="D145" s="84"/>
      <c r="E145" s="84"/>
      <c r="F145" s="84"/>
      <c r="G145" s="84"/>
      <c r="H145" s="64" t="s">
        <v>290</v>
      </c>
    </row>
    <row r="146" spans="1:8" s="1" customFormat="1" ht="26.4">
      <c r="A146" s="49"/>
      <c r="B146" s="19" t="s">
        <v>216</v>
      </c>
      <c r="C146" s="22" t="s">
        <v>260</v>
      </c>
      <c r="D146" s="84"/>
      <c r="E146" s="84"/>
      <c r="F146" s="84"/>
      <c r="G146" s="84"/>
      <c r="H146" s="64" t="s">
        <v>366</v>
      </c>
    </row>
    <row r="147" spans="1:8" s="1" customFormat="1">
      <c r="A147" s="49"/>
      <c r="B147" s="19" t="s">
        <v>140</v>
      </c>
      <c r="C147" s="22" t="s">
        <v>150</v>
      </c>
      <c r="D147" s="84"/>
      <c r="E147" s="84"/>
      <c r="F147" s="84"/>
      <c r="G147" s="84"/>
      <c r="H147" s="66" t="s">
        <v>291</v>
      </c>
    </row>
    <row r="148" spans="1:8" s="1" customFormat="1">
      <c r="A148" s="48" t="s">
        <v>342</v>
      </c>
      <c r="B148" s="43" t="s">
        <v>77</v>
      </c>
      <c r="C148" s="44" t="s">
        <v>74</v>
      </c>
      <c r="D148" s="85">
        <f>D149+D153</f>
        <v>0</v>
      </c>
      <c r="E148" s="85">
        <f>E149+E153</f>
        <v>0</v>
      </c>
      <c r="F148" s="85">
        <f>F149+F153</f>
        <v>0</v>
      </c>
      <c r="G148" s="85">
        <f>G149+G153</f>
        <v>0</v>
      </c>
      <c r="H148" s="64"/>
    </row>
    <row r="149" spans="1:8" s="1" customFormat="1" ht="26.4">
      <c r="A149" s="48" t="s">
        <v>343</v>
      </c>
      <c r="B149" s="19" t="s">
        <v>75</v>
      </c>
      <c r="C149" s="22" t="s">
        <v>76</v>
      </c>
      <c r="D149" s="124"/>
      <c r="E149" s="124"/>
      <c r="F149" s="124"/>
      <c r="G149" s="124"/>
      <c r="H149" s="64"/>
    </row>
    <row r="150" spans="1:8" s="1" customFormat="1" ht="39.6">
      <c r="A150" s="49"/>
      <c r="B150" s="19" t="s">
        <v>215</v>
      </c>
      <c r="C150" s="22" t="s">
        <v>261</v>
      </c>
      <c r="D150" s="84" t="e">
        <f>D149/D202*D203</f>
        <v>#DIV/0!</v>
      </c>
      <c r="E150" s="84" t="e">
        <f>E149/E202*E203</f>
        <v>#DIV/0!</v>
      </c>
      <c r="F150" s="84" t="e">
        <f>F149/F202*F203</f>
        <v>#DIV/0!</v>
      </c>
      <c r="G150" s="84" t="e">
        <f>G149/G202*G203</f>
        <v>#DIV/0!</v>
      </c>
      <c r="H150" s="64" t="s">
        <v>290</v>
      </c>
    </row>
    <row r="151" spans="1:8" s="1" customFormat="1" ht="26.4">
      <c r="A151" s="49"/>
      <c r="B151" s="19" t="s">
        <v>216</v>
      </c>
      <c r="C151" s="22" t="s">
        <v>262</v>
      </c>
      <c r="D151" s="84" t="e">
        <f>D149/D202*D204</f>
        <v>#DIV/0!</v>
      </c>
      <c r="E151" s="84" t="e">
        <f>E149/E202*E204</f>
        <v>#DIV/0!</v>
      </c>
      <c r="F151" s="84" t="e">
        <f>F149/F202*F204</f>
        <v>#DIV/0!</v>
      </c>
      <c r="G151" s="84" t="e">
        <f>G149/G202*G204</f>
        <v>#DIV/0!</v>
      </c>
      <c r="H151" s="64" t="s">
        <v>366</v>
      </c>
    </row>
    <row r="152" spans="1:8" s="1" customFormat="1">
      <c r="A152" s="49"/>
      <c r="B152" s="19" t="s">
        <v>140</v>
      </c>
      <c r="C152" s="22">
        <v>1098012</v>
      </c>
      <c r="D152" s="84" t="e">
        <f>D149/D202*D205</f>
        <v>#DIV/0!</v>
      </c>
      <c r="E152" s="84" t="e">
        <f>E149/E202*E205</f>
        <v>#DIV/0!</v>
      </c>
      <c r="F152" s="84" t="e">
        <f>F149/F202*F205</f>
        <v>#DIV/0!</v>
      </c>
      <c r="G152" s="84" t="e">
        <f>G149/G202*G205</f>
        <v>#DIV/0!</v>
      </c>
      <c r="H152" s="66" t="s">
        <v>291</v>
      </c>
    </row>
    <row r="153" spans="1:8" s="1" customFormat="1" ht="26.4">
      <c r="A153" s="48" t="s">
        <v>344</v>
      </c>
      <c r="B153" s="19" t="s">
        <v>77</v>
      </c>
      <c r="C153" s="22" t="s">
        <v>78</v>
      </c>
      <c r="D153" s="124"/>
      <c r="E153" s="124"/>
      <c r="F153" s="124"/>
      <c r="G153" s="124"/>
      <c r="H153" s="64"/>
    </row>
    <row r="154" spans="1:8" s="1" customFormat="1" ht="39.6">
      <c r="A154" s="49"/>
      <c r="B154" s="19" t="s">
        <v>215</v>
      </c>
      <c r="C154" s="22" t="s">
        <v>263</v>
      </c>
      <c r="D154" s="84" t="e">
        <f>D153/D202*D203</f>
        <v>#DIV/0!</v>
      </c>
      <c r="E154" s="84" t="e">
        <f>E153/E202*E203</f>
        <v>#DIV/0!</v>
      </c>
      <c r="F154" s="84" t="e">
        <f>F153/F202*F203</f>
        <v>#DIV/0!</v>
      </c>
      <c r="G154" s="84" t="e">
        <f>G153/G202*G203</f>
        <v>#DIV/0!</v>
      </c>
      <c r="H154" s="64" t="s">
        <v>290</v>
      </c>
    </row>
    <row r="155" spans="1:8" s="1" customFormat="1" ht="26.4">
      <c r="A155" s="49"/>
      <c r="B155" s="19" t="s">
        <v>216</v>
      </c>
      <c r="C155" s="22" t="s">
        <v>264</v>
      </c>
      <c r="D155" s="84" t="e">
        <f>D153/D202*D204</f>
        <v>#DIV/0!</v>
      </c>
      <c r="E155" s="84" t="e">
        <f>E153/E202*E204</f>
        <v>#DIV/0!</v>
      </c>
      <c r="F155" s="84" t="e">
        <f>F153/F202*F204</f>
        <v>#DIV/0!</v>
      </c>
      <c r="G155" s="84" t="e">
        <f>G153/G202*G204</f>
        <v>#DIV/0!</v>
      </c>
      <c r="H155" s="64" t="s">
        <v>366</v>
      </c>
    </row>
    <row r="156" spans="1:8" s="1" customFormat="1">
      <c r="A156" s="49"/>
      <c r="B156" s="19" t="s">
        <v>140</v>
      </c>
      <c r="C156" s="22">
        <v>1098022</v>
      </c>
      <c r="D156" s="84" t="e">
        <f>D153/D202*D205</f>
        <v>#DIV/0!</v>
      </c>
      <c r="E156" s="84" t="e">
        <f>E153/E202*E205</f>
        <v>#DIV/0!</v>
      </c>
      <c r="F156" s="84" t="e">
        <f>F153/F202*F205</f>
        <v>#DIV/0!</v>
      </c>
      <c r="G156" s="84" t="e">
        <f>G153/G202*G205</f>
        <v>#DIV/0!</v>
      </c>
      <c r="H156" s="66" t="s">
        <v>291</v>
      </c>
    </row>
    <row r="157" spans="1:8" s="1" customFormat="1">
      <c r="A157" s="47" t="s">
        <v>204</v>
      </c>
      <c r="B157" s="16" t="s">
        <v>304</v>
      </c>
      <c r="C157" s="17" t="s">
        <v>79</v>
      </c>
      <c r="D157" s="83">
        <f>D158+D162</f>
        <v>0</v>
      </c>
      <c r="E157" s="83">
        <f>E158+E162</f>
        <v>0</v>
      </c>
      <c r="F157" s="83">
        <f>F158+F162</f>
        <v>0</v>
      </c>
      <c r="G157" s="83">
        <f>G158+G162</f>
        <v>0</v>
      </c>
      <c r="H157" s="70"/>
    </row>
    <row r="158" spans="1:8" s="1" customFormat="1">
      <c r="A158" s="48" t="s">
        <v>306</v>
      </c>
      <c r="B158" s="19" t="s">
        <v>80</v>
      </c>
      <c r="C158" s="22" t="s">
        <v>81</v>
      </c>
      <c r="D158" s="124"/>
      <c r="E158" s="124"/>
      <c r="F158" s="124"/>
      <c r="G158" s="124"/>
      <c r="H158" s="64"/>
    </row>
    <row r="159" spans="1:8" s="1" customFormat="1" ht="51.75" customHeight="1">
      <c r="A159" s="48"/>
      <c r="B159" s="19" t="s">
        <v>215</v>
      </c>
      <c r="C159" s="22" t="s">
        <v>265</v>
      </c>
      <c r="D159" s="84" t="e">
        <f>D158/D202*D203</f>
        <v>#DIV/0!</v>
      </c>
      <c r="E159" s="84" t="e">
        <f>E158/E202*E203</f>
        <v>#DIV/0!</v>
      </c>
      <c r="F159" s="84" t="e">
        <f>F158/F202*F203</f>
        <v>#DIV/0!</v>
      </c>
      <c r="G159" s="84" t="e">
        <f>G158/G202*G203</f>
        <v>#DIV/0!</v>
      </c>
      <c r="H159" s="64" t="s">
        <v>290</v>
      </c>
    </row>
    <row r="160" spans="1:8" s="1" customFormat="1" ht="45.75" customHeight="1">
      <c r="A160" s="48"/>
      <c r="B160" s="19" t="s">
        <v>216</v>
      </c>
      <c r="C160" s="22" t="s">
        <v>266</v>
      </c>
      <c r="D160" s="84" t="e">
        <f>D158/D202*D204</f>
        <v>#DIV/0!</v>
      </c>
      <c r="E160" s="84" t="e">
        <f>E158/E202*E204</f>
        <v>#DIV/0!</v>
      </c>
      <c r="F160" s="84" t="e">
        <f>F158/F202*F204</f>
        <v>#DIV/0!</v>
      </c>
      <c r="G160" s="84" t="e">
        <f>G158/G202*G204</f>
        <v>#DIV/0!</v>
      </c>
      <c r="H160" s="64" t="s">
        <v>366</v>
      </c>
    </row>
    <row r="161" spans="1:8" s="1" customFormat="1">
      <c r="A161" s="48"/>
      <c r="B161" s="19" t="s">
        <v>140</v>
      </c>
      <c r="C161" s="22" t="s">
        <v>151</v>
      </c>
      <c r="D161" s="84" t="e">
        <f>D158/D202*D205</f>
        <v>#DIV/0!</v>
      </c>
      <c r="E161" s="84" t="e">
        <f>E158/E202*E205</f>
        <v>#DIV/0!</v>
      </c>
      <c r="F161" s="84" t="e">
        <f>F158/F202*F205</f>
        <v>#DIV/0!</v>
      </c>
      <c r="G161" s="84" t="e">
        <f>G158/G202*G205</f>
        <v>#DIV/0!</v>
      </c>
      <c r="H161" s="66" t="s">
        <v>291</v>
      </c>
    </row>
    <row r="162" spans="1:8" s="1" customFormat="1">
      <c r="A162" s="48" t="s">
        <v>307</v>
      </c>
      <c r="B162" s="19" t="s">
        <v>82</v>
      </c>
      <c r="C162" s="22" t="s">
        <v>83</v>
      </c>
      <c r="D162" s="124"/>
      <c r="E162" s="124"/>
      <c r="F162" s="124"/>
      <c r="G162" s="124"/>
      <c r="H162" s="64"/>
    </row>
    <row r="163" spans="1:8" s="1" customFormat="1" ht="39.6">
      <c r="A163" s="48"/>
      <c r="B163" s="19" t="s">
        <v>215</v>
      </c>
      <c r="C163" s="22" t="s">
        <v>267</v>
      </c>
      <c r="D163" s="84" t="e">
        <f>D162/D202*D203</f>
        <v>#DIV/0!</v>
      </c>
      <c r="E163" s="84" t="e">
        <f>E162/E202*E203</f>
        <v>#DIV/0!</v>
      </c>
      <c r="F163" s="84" t="e">
        <f>F162/F202*F203</f>
        <v>#DIV/0!</v>
      </c>
      <c r="G163" s="84" t="e">
        <f>G162/G202*G203</f>
        <v>#DIV/0!</v>
      </c>
      <c r="H163" s="64" t="s">
        <v>290</v>
      </c>
    </row>
    <row r="164" spans="1:8" s="1" customFormat="1" ht="26.4">
      <c r="A164" s="49"/>
      <c r="B164" s="19" t="s">
        <v>216</v>
      </c>
      <c r="C164" s="22" t="s">
        <v>268</v>
      </c>
      <c r="D164" s="84" t="e">
        <f>D162/D202*D204</f>
        <v>#DIV/0!</v>
      </c>
      <c r="E164" s="84" t="e">
        <f>E162/E202*E204</f>
        <v>#DIV/0!</v>
      </c>
      <c r="F164" s="84" t="e">
        <f>F162/F202*F204</f>
        <v>#DIV/0!</v>
      </c>
      <c r="G164" s="84" t="e">
        <f>G162/G202*G204</f>
        <v>#DIV/0!</v>
      </c>
      <c r="H164" s="64" t="s">
        <v>366</v>
      </c>
    </row>
    <row r="165" spans="1:8" s="1" customFormat="1">
      <c r="A165" s="49"/>
      <c r="B165" s="19" t="s">
        <v>140</v>
      </c>
      <c r="C165" s="22" t="s">
        <v>152</v>
      </c>
      <c r="D165" s="84" t="e">
        <f>D162/D202*D205</f>
        <v>#DIV/0!</v>
      </c>
      <c r="E165" s="84" t="e">
        <f>E162/E202*E205</f>
        <v>#DIV/0!</v>
      </c>
      <c r="F165" s="84" t="e">
        <f>F162/F202*F205</f>
        <v>#DIV/0!</v>
      </c>
      <c r="G165" s="84" t="e">
        <f>G162/G202*G205</f>
        <v>#DIV/0!</v>
      </c>
      <c r="H165" s="66" t="s">
        <v>291</v>
      </c>
    </row>
    <row r="166" spans="1:8" s="1" customFormat="1">
      <c r="A166" s="47" t="s">
        <v>205</v>
      </c>
      <c r="B166" s="16" t="s">
        <v>84</v>
      </c>
      <c r="C166" s="17" t="s">
        <v>5</v>
      </c>
      <c r="D166" s="83">
        <f>D167</f>
        <v>0</v>
      </c>
      <c r="E166" s="83">
        <f>E167</f>
        <v>0</v>
      </c>
      <c r="F166" s="83">
        <f>F167</f>
        <v>0</v>
      </c>
      <c r="G166" s="83">
        <f>G167</f>
        <v>0</v>
      </c>
      <c r="H166" s="70"/>
    </row>
    <row r="167" spans="1:8" s="1" customFormat="1" ht="39.6">
      <c r="A167" s="49"/>
      <c r="B167" s="19" t="s">
        <v>215</v>
      </c>
      <c r="C167" s="22" t="s">
        <v>153</v>
      </c>
      <c r="D167" s="124"/>
      <c r="E167" s="124"/>
      <c r="F167" s="124"/>
      <c r="G167" s="124"/>
      <c r="H167" s="64" t="s">
        <v>370</v>
      </c>
    </row>
    <row r="168" spans="1:8" s="1" customFormat="1">
      <c r="A168" s="45"/>
      <c r="B168" s="16" t="s">
        <v>85</v>
      </c>
      <c r="C168" s="29"/>
      <c r="D168" s="83">
        <f>D169+D173+D192+D195</f>
        <v>0</v>
      </c>
      <c r="E168" s="83">
        <f>E169+E173+E192+E195</f>
        <v>0</v>
      </c>
      <c r="F168" s="83">
        <f>F169+F173+F192+F195</f>
        <v>0</v>
      </c>
      <c r="G168" s="83">
        <f>G169+G173+G192+G195</f>
        <v>0</v>
      </c>
      <c r="H168" s="74"/>
    </row>
    <row r="169" spans="1:8" s="1" customFormat="1">
      <c r="A169" s="47" t="s">
        <v>206</v>
      </c>
      <c r="B169" s="16" t="s">
        <v>86</v>
      </c>
      <c r="C169" s="17" t="s">
        <v>87</v>
      </c>
      <c r="D169" s="83">
        <f>D170+D171+D172</f>
        <v>0</v>
      </c>
      <c r="E169" s="83">
        <f>E170+E171+E172</f>
        <v>0</v>
      </c>
      <c r="F169" s="83">
        <f>F170+F171+F172</f>
        <v>0</v>
      </c>
      <c r="G169" s="83">
        <f>G170+G171+G172</f>
        <v>0</v>
      </c>
      <c r="H169" s="74"/>
    </row>
    <row r="170" spans="1:8" s="1" customFormat="1">
      <c r="A170" s="49"/>
      <c r="B170" s="19" t="s">
        <v>125</v>
      </c>
      <c r="C170" s="24"/>
      <c r="D170" s="124"/>
      <c r="E170" s="124"/>
      <c r="F170" s="124"/>
      <c r="G170" s="124"/>
      <c r="H170" s="66" t="s">
        <v>417</v>
      </c>
    </row>
    <row r="171" spans="1:8" s="1" customFormat="1" ht="26.4">
      <c r="A171" s="49"/>
      <c r="B171" s="19" t="s">
        <v>86</v>
      </c>
      <c r="C171" s="24"/>
      <c r="D171" s="124"/>
      <c r="E171" s="124"/>
      <c r="F171" s="124"/>
      <c r="G171" s="124"/>
      <c r="H171" s="66" t="s">
        <v>420</v>
      </c>
    </row>
    <row r="172" spans="1:8" s="1" customFormat="1">
      <c r="A172" s="49"/>
      <c r="B172" s="19" t="s">
        <v>126</v>
      </c>
      <c r="C172" s="24"/>
      <c r="D172" s="124"/>
      <c r="E172" s="124"/>
      <c r="F172" s="124"/>
      <c r="G172" s="124"/>
      <c r="H172" s="66" t="s">
        <v>421</v>
      </c>
    </row>
    <row r="173" spans="1:8" s="1" customFormat="1" ht="26.4">
      <c r="A173" s="47" t="s">
        <v>207</v>
      </c>
      <c r="B173" s="16" t="s">
        <v>88</v>
      </c>
      <c r="C173" s="17" t="s">
        <v>89</v>
      </c>
      <c r="D173" s="83">
        <f>D174+D175+D176+D180+D183+D186+D189</f>
        <v>0</v>
      </c>
      <c r="E173" s="83">
        <f>E174+E175+E176+E180+E183+E186+E189</f>
        <v>0</v>
      </c>
      <c r="F173" s="83">
        <f>F174+F175+F176+F180+F183+F186+F189</f>
        <v>0</v>
      </c>
      <c r="G173" s="83">
        <f>G174+G175+G176+G180+G183+G186+G189</f>
        <v>0</v>
      </c>
      <c r="H173" s="75"/>
    </row>
    <row r="174" spans="1:8" s="1" customFormat="1" ht="12.75" customHeight="1">
      <c r="A174" s="61" t="s">
        <v>306</v>
      </c>
      <c r="B174" s="62" t="s">
        <v>200</v>
      </c>
      <c r="C174" s="63" t="s">
        <v>90</v>
      </c>
      <c r="D174" s="128"/>
      <c r="E174" s="128"/>
      <c r="F174" s="128"/>
      <c r="G174" s="128"/>
      <c r="H174" s="140" t="s">
        <v>416</v>
      </c>
    </row>
    <row r="175" spans="1:8" s="1" customFormat="1">
      <c r="A175" s="48" t="s">
        <v>307</v>
      </c>
      <c r="B175" s="43" t="s">
        <v>91</v>
      </c>
      <c r="C175" s="44" t="s">
        <v>92</v>
      </c>
      <c r="D175" s="125"/>
      <c r="E175" s="125"/>
      <c r="F175" s="125"/>
      <c r="G175" s="125"/>
      <c r="H175" s="141" t="s">
        <v>417</v>
      </c>
    </row>
    <row r="176" spans="1:8" s="1" customFormat="1">
      <c r="A176" s="48" t="s">
        <v>310</v>
      </c>
      <c r="B176" s="43" t="s">
        <v>93</v>
      </c>
      <c r="C176" s="44" t="s">
        <v>94</v>
      </c>
      <c r="D176" s="85">
        <f>D177+D178+D179</f>
        <v>0</v>
      </c>
      <c r="E176" s="85">
        <f>E177+E178+E179</f>
        <v>0</v>
      </c>
      <c r="F176" s="85">
        <f>F177+F178+F179</f>
        <v>0</v>
      </c>
      <c r="G176" s="85">
        <f>G177+G178+G179</f>
        <v>0</v>
      </c>
      <c r="H176" s="141"/>
    </row>
    <row r="177" spans="1:8" s="1" customFormat="1">
      <c r="A177" s="50"/>
      <c r="B177" s="26" t="s">
        <v>201</v>
      </c>
      <c r="C177" s="27">
        <v>52031</v>
      </c>
      <c r="D177" s="126"/>
      <c r="E177" s="126"/>
      <c r="F177" s="126"/>
      <c r="G177" s="126"/>
      <c r="H177" s="140" t="s">
        <v>416</v>
      </c>
    </row>
    <row r="178" spans="1:8" s="1" customFormat="1" ht="39.6">
      <c r="A178" s="49"/>
      <c r="B178" s="19" t="s">
        <v>124</v>
      </c>
      <c r="C178" s="22">
        <v>52032</v>
      </c>
      <c r="D178" s="124"/>
      <c r="E178" s="124"/>
      <c r="F178" s="124"/>
      <c r="G178" s="124"/>
      <c r="H178" s="141" t="s">
        <v>418</v>
      </c>
    </row>
    <row r="179" spans="1:8" s="1" customFormat="1">
      <c r="A179" s="49"/>
      <c r="B179" s="19" t="s">
        <v>127</v>
      </c>
      <c r="C179" s="22">
        <v>52033</v>
      </c>
      <c r="D179" s="124"/>
      <c r="E179" s="124"/>
      <c r="F179" s="124"/>
      <c r="G179" s="124"/>
      <c r="H179" s="141" t="s">
        <v>419</v>
      </c>
    </row>
    <row r="180" spans="1:8" s="1" customFormat="1">
      <c r="A180" s="48" t="s">
        <v>314</v>
      </c>
      <c r="B180" s="43" t="s">
        <v>95</v>
      </c>
      <c r="C180" s="44" t="s">
        <v>96</v>
      </c>
      <c r="D180" s="85">
        <f>D181+D182</f>
        <v>0</v>
      </c>
      <c r="E180" s="85">
        <f>E181+E182</f>
        <v>0</v>
      </c>
      <c r="F180" s="85">
        <f>F181+F182</f>
        <v>0</v>
      </c>
      <c r="G180" s="85">
        <f>G181+G182</f>
        <v>0</v>
      </c>
      <c r="H180" s="141"/>
    </row>
    <row r="181" spans="1:8" s="1" customFormat="1" ht="39.6">
      <c r="A181" s="49"/>
      <c r="B181" s="19" t="s">
        <v>95</v>
      </c>
      <c r="C181" s="22" t="s">
        <v>129</v>
      </c>
      <c r="D181" s="124"/>
      <c r="E181" s="124"/>
      <c r="F181" s="124"/>
      <c r="G181" s="124"/>
      <c r="H181" s="141" t="s">
        <v>418</v>
      </c>
    </row>
    <row r="182" spans="1:8" s="1" customFormat="1">
      <c r="A182" s="49"/>
      <c r="B182" s="19" t="s">
        <v>128</v>
      </c>
      <c r="C182" s="22" t="s">
        <v>130</v>
      </c>
      <c r="D182" s="124"/>
      <c r="E182" s="124"/>
      <c r="F182" s="124"/>
      <c r="G182" s="124"/>
      <c r="H182" s="141" t="s">
        <v>419</v>
      </c>
    </row>
    <row r="183" spans="1:8" s="1" customFormat="1">
      <c r="A183" s="48" t="s">
        <v>315</v>
      </c>
      <c r="B183" s="43" t="s">
        <v>97</v>
      </c>
      <c r="C183" s="44" t="s">
        <v>98</v>
      </c>
      <c r="D183" s="85">
        <f>D184+D185</f>
        <v>0</v>
      </c>
      <c r="E183" s="85">
        <f>E184+E185</f>
        <v>0</v>
      </c>
      <c r="F183" s="85">
        <f>F184+F185</f>
        <v>0</v>
      </c>
      <c r="G183" s="85">
        <f>G184+G185</f>
        <v>0</v>
      </c>
      <c r="H183" s="141"/>
    </row>
    <row r="184" spans="1:8" s="1" customFormat="1" ht="39.6">
      <c r="A184" s="49"/>
      <c r="B184" s="19" t="s">
        <v>97</v>
      </c>
      <c r="C184" s="22" t="s">
        <v>134</v>
      </c>
      <c r="D184" s="124"/>
      <c r="E184" s="124"/>
      <c r="F184" s="124"/>
      <c r="G184" s="124"/>
      <c r="H184" s="141" t="s">
        <v>418</v>
      </c>
    </row>
    <row r="185" spans="1:8" s="1" customFormat="1">
      <c r="A185" s="49"/>
      <c r="B185" s="19" t="s">
        <v>131</v>
      </c>
      <c r="C185" s="22" t="s">
        <v>135</v>
      </c>
      <c r="D185" s="124"/>
      <c r="E185" s="124"/>
      <c r="F185" s="124"/>
      <c r="G185" s="124"/>
      <c r="H185" s="141" t="s">
        <v>419</v>
      </c>
    </row>
    <row r="186" spans="1:8" s="1" customFormat="1">
      <c r="A186" s="48" t="s">
        <v>317</v>
      </c>
      <c r="B186" s="43" t="s">
        <v>99</v>
      </c>
      <c r="C186" s="44" t="s">
        <v>100</v>
      </c>
      <c r="D186" s="85">
        <f>D187+D188</f>
        <v>0</v>
      </c>
      <c r="E186" s="85">
        <f>E187+E188</f>
        <v>0</v>
      </c>
      <c r="F186" s="85">
        <f>F187+F188</f>
        <v>0</v>
      </c>
      <c r="G186" s="85">
        <f>G187+G188</f>
        <v>0</v>
      </c>
      <c r="H186" s="141"/>
    </row>
    <row r="187" spans="1:8" s="1" customFormat="1" ht="39.6">
      <c r="A187" s="49"/>
      <c r="B187" s="19" t="s">
        <v>99</v>
      </c>
      <c r="C187" s="22" t="s">
        <v>136</v>
      </c>
      <c r="D187" s="124"/>
      <c r="E187" s="124"/>
      <c r="F187" s="124"/>
      <c r="G187" s="124"/>
      <c r="H187" s="141" t="s">
        <v>418</v>
      </c>
    </row>
    <row r="188" spans="1:8" s="1" customFormat="1">
      <c r="A188" s="49"/>
      <c r="B188" s="19" t="s">
        <v>132</v>
      </c>
      <c r="C188" s="22" t="s">
        <v>137</v>
      </c>
      <c r="D188" s="124"/>
      <c r="E188" s="124"/>
      <c r="F188" s="124"/>
      <c r="G188" s="124"/>
      <c r="H188" s="141" t="s">
        <v>419</v>
      </c>
    </row>
    <row r="189" spans="1:8" s="1" customFormat="1">
      <c r="A189" s="48" t="s">
        <v>345</v>
      </c>
      <c r="B189" s="43" t="s">
        <v>101</v>
      </c>
      <c r="C189" s="44" t="s">
        <v>102</v>
      </c>
      <c r="D189" s="85">
        <f>D190+D191</f>
        <v>0</v>
      </c>
      <c r="E189" s="85">
        <f>E190+E191</f>
        <v>0</v>
      </c>
      <c r="F189" s="85">
        <f>F190+F191</f>
        <v>0</v>
      </c>
      <c r="G189" s="85">
        <f>G190+G191</f>
        <v>0</v>
      </c>
      <c r="H189" s="141"/>
    </row>
    <row r="190" spans="1:8" s="1" customFormat="1" ht="39.6">
      <c r="A190" s="51"/>
      <c r="B190" s="21" t="s">
        <v>101</v>
      </c>
      <c r="C190" s="30" t="s">
        <v>138</v>
      </c>
      <c r="D190" s="129"/>
      <c r="E190" s="129"/>
      <c r="F190" s="129"/>
      <c r="G190" s="129"/>
      <c r="H190" s="141" t="s">
        <v>418</v>
      </c>
    </row>
    <row r="191" spans="1:8" s="1" customFormat="1">
      <c r="A191" s="52"/>
      <c r="B191" s="31" t="s">
        <v>133</v>
      </c>
      <c r="C191" s="32" t="s">
        <v>139</v>
      </c>
      <c r="D191" s="124"/>
      <c r="E191" s="124"/>
      <c r="F191" s="124"/>
      <c r="G191" s="124"/>
      <c r="H191" s="141" t="s">
        <v>419</v>
      </c>
    </row>
    <row r="192" spans="1:8" s="1" customFormat="1">
      <c r="A192" s="47" t="s">
        <v>8</v>
      </c>
      <c r="B192" s="16" t="s">
        <v>103</v>
      </c>
      <c r="C192" s="17" t="s">
        <v>104</v>
      </c>
      <c r="D192" s="83">
        <f>D193+D194</f>
        <v>0</v>
      </c>
      <c r="E192" s="83">
        <f>E193+E194</f>
        <v>0</v>
      </c>
      <c r="F192" s="83">
        <f>F193+F194</f>
        <v>0</v>
      </c>
      <c r="G192" s="83">
        <f>G193+G194</f>
        <v>0</v>
      </c>
      <c r="H192" s="142"/>
    </row>
    <row r="193" spans="1:8" s="1" customFormat="1">
      <c r="A193" s="53" t="s">
        <v>2</v>
      </c>
      <c r="B193" s="33" t="s">
        <v>210</v>
      </c>
      <c r="C193" s="34" t="s">
        <v>105</v>
      </c>
      <c r="D193" s="130"/>
      <c r="E193" s="130"/>
      <c r="F193" s="130"/>
      <c r="G193" s="130"/>
      <c r="H193" s="140" t="s">
        <v>416</v>
      </c>
    </row>
    <row r="194" spans="1:8" s="1" customFormat="1">
      <c r="A194" s="53" t="s">
        <v>3</v>
      </c>
      <c r="B194" s="33" t="s">
        <v>211</v>
      </c>
      <c r="C194" s="34" t="s">
        <v>106</v>
      </c>
      <c r="D194" s="130"/>
      <c r="E194" s="130"/>
      <c r="F194" s="130"/>
      <c r="G194" s="130"/>
      <c r="H194" s="73" t="s">
        <v>416</v>
      </c>
    </row>
    <row r="195" spans="1:8" s="1" customFormat="1">
      <c r="A195" s="54" t="s">
        <v>208</v>
      </c>
      <c r="B195" s="35" t="s">
        <v>107</v>
      </c>
      <c r="C195" s="36" t="s">
        <v>108</v>
      </c>
      <c r="D195" s="139"/>
      <c r="E195" s="139"/>
      <c r="F195" s="139"/>
      <c r="G195" s="139"/>
      <c r="H195" s="66" t="s">
        <v>417</v>
      </c>
    </row>
    <row r="196" spans="1:8" s="1" customFormat="1" ht="9" customHeight="1">
      <c r="A196" s="55"/>
      <c r="B196" s="37"/>
      <c r="C196" s="38"/>
      <c r="D196" s="87"/>
      <c r="E196" s="87"/>
      <c r="F196" s="87"/>
      <c r="G196" s="87"/>
      <c r="H196" s="65"/>
    </row>
    <row r="197" spans="1:8" s="1" customFormat="1">
      <c r="A197" s="56"/>
      <c r="B197" s="39" t="s">
        <v>209</v>
      </c>
      <c r="C197" s="40"/>
      <c r="D197" s="88"/>
      <c r="E197" s="88"/>
      <c r="F197" s="88"/>
      <c r="G197" s="88"/>
      <c r="H197" s="76"/>
    </row>
    <row r="198" spans="1:8" s="1" customFormat="1">
      <c r="A198" s="49"/>
      <c r="B198" s="19" t="s">
        <v>109</v>
      </c>
      <c r="C198" s="24" t="s">
        <v>110</v>
      </c>
      <c r="D198" s="84">
        <f>D199+D200+D201</f>
        <v>0</v>
      </c>
      <c r="E198" s="84">
        <f>E199+E200+E201</f>
        <v>0</v>
      </c>
      <c r="F198" s="84">
        <f>F199+F200+F201</f>
        <v>0</v>
      </c>
      <c r="G198" s="84">
        <f>G199+G200+G201</f>
        <v>0</v>
      </c>
      <c r="H198" s="66" t="s">
        <v>296</v>
      </c>
    </row>
    <row r="199" spans="1:8" s="1" customFormat="1">
      <c r="A199" s="49"/>
      <c r="B199" s="19" t="s">
        <v>212</v>
      </c>
      <c r="C199" s="24" t="s">
        <v>110</v>
      </c>
      <c r="D199" s="124"/>
      <c r="E199" s="124"/>
      <c r="F199" s="124"/>
      <c r="G199" s="124"/>
      <c r="H199" s="66" t="s">
        <v>297</v>
      </c>
    </row>
    <row r="200" spans="1:8" s="1" customFormat="1">
      <c r="A200" s="49"/>
      <c r="B200" s="19" t="s">
        <v>223</v>
      </c>
      <c r="C200" s="24" t="s">
        <v>110</v>
      </c>
      <c r="D200" s="124"/>
      <c r="E200" s="124"/>
      <c r="F200" s="124"/>
      <c r="G200" s="124"/>
      <c r="H200" s="66" t="s">
        <v>298</v>
      </c>
    </row>
    <row r="201" spans="1:8" s="1" customFormat="1">
      <c r="A201" s="49"/>
      <c r="B201" s="19" t="s">
        <v>214</v>
      </c>
      <c r="C201" s="24" t="s">
        <v>110</v>
      </c>
      <c r="D201" s="124"/>
      <c r="E201" s="124"/>
      <c r="F201" s="124"/>
      <c r="G201" s="124"/>
      <c r="H201" s="66" t="s">
        <v>299</v>
      </c>
    </row>
    <row r="202" spans="1:8" s="1" customFormat="1">
      <c r="A202" s="49"/>
      <c r="B202" s="19" t="s">
        <v>111</v>
      </c>
      <c r="C202" s="24" t="s">
        <v>110</v>
      </c>
      <c r="D202" s="84">
        <f>D203+D204+D205</f>
        <v>0</v>
      </c>
      <c r="E202" s="84">
        <f>E203+E204+E205</f>
        <v>0</v>
      </c>
      <c r="F202" s="84">
        <f>F203+F204+F205</f>
        <v>0</v>
      </c>
      <c r="G202" s="84">
        <f>G203+G204+G205</f>
        <v>0</v>
      </c>
      <c r="H202" s="66" t="s">
        <v>300</v>
      </c>
    </row>
    <row r="203" spans="1:8" s="1" customFormat="1">
      <c r="A203" s="49"/>
      <c r="B203" s="19" t="s">
        <v>212</v>
      </c>
      <c r="C203" s="24" t="s">
        <v>110</v>
      </c>
      <c r="D203" s="124"/>
      <c r="E203" s="124"/>
      <c r="F203" s="124"/>
      <c r="G203" s="124"/>
      <c r="H203" s="66" t="s">
        <v>301</v>
      </c>
    </row>
    <row r="204" spans="1:8" s="1" customFormat="1" ht="14.25" customHeight="1">
      <c r="A204" s="49"/>
      <c r="B204" s="19" t="s">
        <v>224</v>
      </c>
      <c r="C204" s="24" t="s">
        <v>110</v>
      </c>
      <c r="D204" s="124"/>
      <c r="E204" s="124"/>
      <c r="F204" s="124"/>
      <c r="G204" s="124"/>
      <c r="H204" s="66" t="s">
        <v>302</v>
      </c>
    </row>
    <row r="205" spans="1:8" s="1" customFormat="1" ht="14.25" customHeight="1">
      <c r="A205" s="49"/>
      <c r="B205" s="19" t="s">
        <v>214</v>
      </c>
      <c r="C205" s="24" t="s">
        <v>110</v>
      </c>
      <c r="D205" s="124"/>
      <c r="E205" s="124"/>
      <c r="F205" s="124"/>
      <c r="G205" s="124"/>
      <c r="H205" s="66" t="s">
        <v>303</v>
      </c>
    </row>
    <row r="206" spans="1:8" s="1" customFormat="1">
      <c r="A206" s="49"/>
      <c r="B206" s="19" t="s">
        <v>113</v>
      </c>
      <c r="C206" s="24" t="s">
        <v>112</v>
      </c>
      <c r="D206" s="84" t="e">
        <f t="shared" ref="D206:F209" si="0">D10/D202/12</f>
        <v>#DIV/0!</v>
      </c>
      <c r="E206" s="84" t="e">
        <f t="shared" si="0"/>
        <v>#DIV/0!</v>
      </c>
      <c r="F206" s="84" t="e">
        <f t="shared" si="0"/>
        <v>#DIV/0!</v>
      </c>
      <c r="G206" s="84" t="e">
        <f>G10/G202/12</f>
        <v>#DIV/0!</v>
      </c>
      <c r="H206" s="64"/>
    </row>
    <row r="207" spans="1:8" s="1" customFormat="1">
      <c r="A207" s="49"/>
      <c r="B207" s="19" t="s">
        <v>212</v>
      </c>
      <c r="C207" s="24" t="s">
        <v>112</v>
      </c>
      <c r="D207" s="84" t="e">
        <f t="shared" si="0"/>
        <v>#DIV/0!</v>
      </c>
      <c r="E207" s="84" t="e">
        <f t="shared" si="0"/>
        <v>#DIV/0!</v>
      </c>
      <c r="F207" s="84" t="e">
        <f t="shared" si="0"/>
        <v>#DIV/0!</v>
      </c>
      <c r="G207" s="84" t="e">
        <f>G11/G203/12</f>
        <v>#DIV/0!</v>
      </c>
      <c r="H207" s="64"/>
    </row>
    <row r="208" spans="1:8" s="1" customFormat="1">
      <c r="A208" s="49"/>
      <c r="B208" s="19" t="s">
        <v>225</v>
      </c>
      <c r="C208" s="24" t="s">
        <v>112</v>
      </c>
      <c r="D208" s="84" t="e">
        <f t="shared" si="0"/>
        <v>#DIV/0!</v>
      </c>
      <c r="E208" s="84" t="e">
        <f t="shared" si="0"/>
        <v>#DIV/0!</v>
      </c>
      <c r="F208" s="84" t="e">
        <f t="shared" si="0"/>
        <v>#DIV/0!</v>
      </c>
      <c r="G208" s="84" t="e">
        <f>G12/G204/12</f>
        <v>#DIV/0!</v>
      </c>
      <c r="H208" s="64"/>
    </row>
    <row r="209" spans="1:8" s="1" customFormat="1">
      <c r="A209" s="49"/>
      <c r="B209" s="19" t="s">
        <v>214</v>
      </c>
      <c r="C209" s="24" t="s">
        <v>112</v>
      </c>
      <c r="D209" s="84" t="e">
        <f t="shared" si="0"/>
        <v>#DIV/0!</v>
      </c>
      <c r="E209" s="84" t="e">
        <f t="shared" si="0"/>
        <v>#DIV/0!</v>
      </c>
      <c r="F209" s="84" t="e">
        <f t="shared" si="0"/>
        <v>#DIV/0!</v>
      </c>
      <c r="G209" s="84" t="e">
        <f>G13/G205/12</f>
        <v>#DIV/0!</v>
      </c>
      <c r="H209" s="64"/>
    </row>
    <row r="210" spans="1:8" s="1" customFormat="1" ht="9" customHeight="1">
      <c r="A210" s="57"/>
      <c r="B210" s="41"/>
      <c r="C210" s="42"/>
      <c r="D210" s="89"/>
      <c r="E210" s="89"/>
      <c r="F210" s="89"/>
      <c r="G210" s="89"/>
      <c r="H210" s="67"/>
    </row>
    <row r="211" spans="1:8">
      <c r="A211" s="131"/>
      <c r="B211" s="131"/>
      <c r="C211" s="131"/>
      <c r="D211" s="132"/>
      <c r="E211" s="132"/>
      <c r="F211" s="132"/>
      <c r="G211" s="132"/>
      <c r="H211" s="131"/>
    </row>
    <row r="212" spans="1:8" ht="14.4">
      <c r="A212" s="148"/>
      <c r="B212" s="148"/>
      <c r="C212" s="148"/>
      <c r="D212" s="148"/>
      <c r="E212" s="134"/>
      <c r="F212" s="134"/>
      <c r="G212" s="134"/>
      <c r="H212" s="133"/>
    </row>
    <row r="213" spans="1:8">
      <c r="A213" s="131"/>
      <c r="B213" s="135" t="s">
        <v>381</v>
      </c>
      <c r="C213" s="131" t="s">
        <v>400</v>
      </c>
      <c r="D213" s="132"/>
      <c r="E213" s="132"/>
      <c r="F213" s="132"/>
      <c r="G213" s="132"/>
      <c r="H213" s="131"/>
    </row>
    <row r="214" spans="1:8">
      <c r="A214" s="131"/>
      <c r="B214" s="135"/>
      <c r="C214" s="131"/>
      <c r="D214" s="132"/>
      <c r="E214" s="132"/>
      <c r="F214" s="132"/>
      <c r="G214" s="132"/>
      <c r="H214" s="131"/>
    </row>
    <row r="215" spans="1:8">
      <c r="A215" s="131"/>
      <c r="B215" s="136" t="s">
        <v>399</v>
      </c>
      <c r="C215" s="137"/>
      <c r="D215" s="137"/>
      <c r="E215" s="137"/>
      <c r="F215" s="137"/>
      <c r="G215" s="137"/>
      <c r="H215" s="137"/>
    </row>
    <row r="216" spans="1:8">
      <c r="A216" s="131"/>
      <c r="B216" s="147"/>
      <c r="C216" s="147"/>
      <c r="D216" s="147"/>
      <c r="E216" s="147"/>
      <c r="F216" s="147"/>
      <c r="G216" s="147"/>
      <c r="H216" s="147"/>
    </row>
    <row r="217" spans="1:8">
      <c r="A217" s="131"/>
      <c r="B217" s="131"/>
      <c r="C217" s="131"/>
      <c r="D217" s="132"/>
      <c r="E217" s="132"/>
      <c r="F217" s="132"/>
      <c r="G217" s="132"/>
      <c r="H217" s="131"/>
    </row>
    <row r="218" spans="1:8">
      <c r="A218" s="131"/>
      <c r="B218" s="131"/>
      <c r="C218" s="131"/>
      <c r="D218" s="132"/>
      <c r="E218" s="132"/>
      <c r="F218" s="132"/>
      <c r="G218" s="132"/>
      <c r="H218" s="131"/>
    </row>
    <row r="219" spans="1:8">
      <c r="A219" s="131"/>
      <c r="B219" s="131"/>
      <c r="C219" s="131"/>
      <c r="D219" s="132"/>
      <c r="E219" s="132"/>
      <c r="F219" s="132"/>
      <c r="G219" s="132"/>
      <c r="H219" s="131"/>
    </row>
    <row r="220" spans="1:8">
      <c r="A220" s="131"/>
      <c r="B220" s="131"/>
      <c r="C220" s="131"/>
      <c r="D220" s="132"/>
      <c r="E220" s="132"/>
      <c r="F220" s="132"/>
      <c r="G220" s="132"/>
      <c r="H220" s="131"/>
    </row>
    <row r="221" spans="1:8">
      <c r="A221" s="131"/>
      <c r="B221" s="131"/>
      <c r="C221" s="131"/>
      <c r="D221" s="132"/>
      <c r="E221" s="132"/>
      <c r="F221" s="132"/>
      <c r="G221" s="132"/>
      <c r="H221" s="131"/>
    </row>
    <row r="222" spans="1:8">
      <c r="A222" s="131"/>
      <c r="B222" s="131"/>
      <c r="C222" s="131"/>
      <c r="D222" s="132"/>
      <c r="E222" s="132"/>
      <c r="F222" s="132"/>
      <c r="G222" s="132"/>
      <c r="H222" s="131"/>
    </row>
    <row r="223" spans="1:8">
      <c r="A223" s="131"/>
      <c r="B223" s="131"/>
      <c r="C223" s="131"/>
      <c r="D223" s="132"/>
      <c r="E223" s="132"/>
      <c r="F223" s="132"/>
      <c r="G223" s="132"/>
      <c r="H223" s="131"/>
    </row>
    <row r="224" spans="1:8">
      <c r="A224" s="131"/>
      <c r="B224" s="131"/>
      <c r="C224" s="131"/>
      <c r="D224" s="132"/>
      <c r="E224" s="132"/>
      <c r="F224" s="132"/>
      <c r="G224" s="132"/>
      <c r="H224" s="131"/>
    </row>
    <row r="225" spans="1:8">
      <c r="A225" s="131"/>
      <c r="B225" s="131"/>
      <c r="C225" s="131"/>
      <c r="D225" s="132"/>
      <c r="E225" s="132"/>
      <c r="F225" s="132"/>
      <c r="G225" s="132"/>
      <c r="H225" s="131"/>
    </row>
  </sheetData>
  <mergeCells count="9">
    <mergeCell ref="I11:I13"/>
    <mergeCell ref="I22:I23"/>
    <mergeCell ref="I100:I101"/>
    <mergeCell ref="A2:H2"/>
    <mergeCell ref="A3:H3"/>
    <mergeCell ref="B6:E6"/>
    <mergeCell ref="B5:E5"/>
    <mergeCell ref="B216:H216"/>
    <mergeCell ref="A212:D212"/>
  </mergeCells>
  <phoneticPr fontId="3" type="noConversion"/>
  <printOptions horizontalCentered="1"/>
  <pageMargins left="0.31496062992125984" right="0.31496062992125984" top="0.15748031496062992" bottom="0.15748031496062992" header="0.31496062992125984" footer="0.31496062992125984"/>
  <pageSetup paperSize="9" scale="65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5FDFC-EA1C-452D-870C-4F0D83B1B7AF}">
  <dimension ref="B1:E28"/>
  <sheetViews>
    <sheetView zoomScaleNormal="100" workbookViewId="0">
      <pane xSplit="4" ySplit="24" topLeftCell="E25" activePane="bottomRight" state="frozen"/>
      <selection pane="topRight" activeCell="E1" sqref="E1"/>
      <selection pane="bottomLeft" activeCell="A24" sqref="A24"/>
      <selection pane="bottomRight" activeCell="I29" sqref="I29"/>
    </sheetView>
  </sheetViews>
  <sheetFormatPr defaultColWidth="9.109375" defaultRowHeight="13.2"/>
  <cols>
    <col min="1" max="1" width="9.109375" style="91"/>
    <col min="2" max="2" width="22" style="91" customWidth="1"/>
    <col min="3" max="3" width="28.5546875" style="91" customWidth="1"/>
    <col min="4" max="4" width="22.6640625" style="91" customWidth="1"/>
    <col min="5" max="5" width="21" style="91" customWidth="1"/>
    <col min="6" max="6" width="20" style="91" customWidth="1"/>
    <col min="7" max="7" width="22.109375" style="91" customWidth="1"/>
    <col min="8" max="8" width="16.33203125" style="91" customWidth="1"/>
    <col min="9" max="9" width="15.33203125" style="91" customWidth="1"/>
    <col min="10" max="16384" width="9.109375" style="91"/>
  </cols>
  <sheetData>
    <row r="1" spans="2:5">
      <c r="E1" s="122" t="s">
        <v>410</v>
      </c>
    </row>
    <row r="2" spans="2:5">
      <c r="C2" s="103"/>
    </row>
    <row r="4" spans="2:5">
      <c r="B4" s="151" t="s">
        <v>383</v>
      </c>
      <c r="C4" s="151"/>
      <c r="D4" s="151"/>
      <c r="E4" s="151"/>
    </row>
    <row r="5" spans="2:5">
      <c r="B5" s="151" t="s">
        <v>392</v>
      </c>
      <c r="C5" s="151"/>
      <c r="D5" s="151"/>
      <c r="E5" s="151"/>
    </row>
    <row r="6" spans="2:5">
      <c r="B6" s="120" t="s">
        <v>372</v>
      </c>
      <c r="C6" s="138"/>
    </row>
    <row r="7" spans="2:5">
      <c r="C7" s="93" t="s">
        <v>162</v>
      </c>
    </row>
    <row r="8" spans="2:5" ht="13.8" thickBot="1">
      <c r="D8" s="93"/>
    </row>
    <row r="9" spans="2:5" ht="71.25" customHeight="1">
      <c r="B9" s="104"/>
      <c r="C9" s="105" t="s">
        <v>384</v>
      </c>
      <c r="D9" s="105" t="s">
        <v>385</v>
      </c>
      <c r="E9" s="106" t="s">
        <v>386</v>
      </c>
    </row>
    <row r="10" spans="2:5">
      <c r="B10" s="107">
        <v>1</v>
      </c>
      <c r="C10" s="108">
        <v>2</v>
      </c>
      <c r="D10" s="108">
        <v>3</v>
      </c>
      <c r="E10" s="109">
        <v>4</v>
      </c>
    </row>
    <row r="11" spans="2:5" ht="18.75" customHeight="1">
      <c r="B11" s="110" t="s">
        <v>387</v>
      </c>
      <c r="C11" s="111">
        <f>C12+C13+C14+C15</f>
        <v>0</v>
      </c>
      <c r="D11" s="111">
        <f>D12+D13+D14+D15</f>
        <v>0</v>
      </c>
      <c r="E11" s="112">
        <f>E12+E13+E14+E15</f>
        <v>0</v>
      </c>
    </row>
    <row r="12" spans="2:5" ht="19.5" customHeight="1">
      <c r="B12" s="113" t="s">
        <v>388</v>
      </c>
      <c r="C12" s="114"/>
      <c r="D12" s="114"/>
      <c r="E12" s="114"/>
    </row>
    <row r="13" spans="2:5" ht="18" customHeight="1">
      <c r="B13" s="113" t="s">
        <v>389</v>
      </c>
      <c r="C13" s="114"/>
      <c r="D13" s="114"/>
      <c r="E13" s="114"/>
    </row>
    <row r="14" spans="2:5" ht="21.75" customHeight="1">
      <c r="B14" s="113" t="s">
        <v>390</v>
      </c>
      <c r="C14" s="114"/>
      <c r="D14" s="114"/>
      <c r="E14" s="114"/>
    </row>
    <row r="15" spans="2:5" ht="24" customHeight="1" thickBot="1">
      <c r="B15" s="115" t="s">
        <v>391</v>
      </c>
      <c r="C15" s="114"/>
      <c r="D15" s="114"/>
      <c r="E15" s="114"/>
    </row>
    <row r="16" spans="2:5">
      <c r="B16" s="116"/>
      <c r="C16" s="116"/>
      <c r="D16" s="117"/>
      <c r="E16" s="117"/>
    </row>
    <row r="17" spans="2:5">
      <c r="B17" s="116"/>
      <c r="C17" s="116"/>
      <c r="D17" s="117"/>
      <c r="E17" s="117"/>
    </row>
    <row r="18" spans="2:5">
      <c r="B18" s="99" t="s">
        <v>381</v>
      </c>
      <c r="C18" s="99"/>
      <c r="D18" s="99"/>
      <c r="E18" s="99"/>
    </row>
    <row r="19" spans="2:5">
      <c r="B19" s="102" t="s">
        <v>396</v>
      </c>
      <c r="C19" s="99"/>
      <c r="D19" s="100" t="s">
        <v>382</v>
      </c>
      <c r="E19" s="99"/>
    </row>
    <row r="20" spans="2:5">
      <c r="B20" s="99" t="s">
        <v>401</v>
      </c>
      <c r="C20" s="99"/>
      <c r="D20" s="101" t="s">
        <v>395</v>
      </c>
      <c r="E20" s="99"/>
    </row>
    <row r="21" spans="2:5">
      <c r="B21" s="99"/>
      <c r="C21" s="99"/>
      <c r="D21" s="101"/>
      <c r="E21" s="99"/>
    </row>
    <row r="22" spans="2:5" ht="13.8">
      <c r="B22" s="119" t="s">
        <v>393</v>
      </c>
      <c r="C22" s="99"/>
      <c r="D22" s="99"/>
      <c r="E22" s="99"/>
    </row>
    <row r="23" spans="2:5" ht="15" customHeight="1">
      <c r="B23" s="152" t="s">
        <v>397</v>
      </c>
      <c r="C23" s="152"/>
      <c r="D23" s="152"/>
      <c r="E23" s="152"/>
    </row>
    <row r="24" spans="2:5" ht="29.25" customHeight="1">
      <c r="B24" s="153" t="s">
        <v>394</v>
      </c>
      <c r="C24" s="153"/>
      <c r="D24" s="153"/>
      <c r="E24" s="153"/>
    </row>
    <row r="25" spans="2:5">
      <c r="B25" s="99"/>
      <c r="C25" s="99"/>
      <c r="D25" s="99"/>
      <c r="E25" s="99"/>
    </row>
    <row r="26" spans="2:5">
      <c r="B26" s="99"/>
      <c r="C26" s="99"/>
      <c r="D26" s="99"/>
      <c r="E26" s="99"/>
    </row>
    <row r="27" spans="2:5">
      <c r="B27" s="99"/>
      <c r="C27" s="99"/>
      <c r="D27" s="99"/>
      <c r="E27" s="99"/>
    </row>
    <row r="28" spans="2:5">
      <c r="B28" s="99"/>
      <c r="C28" s="99"/>
      <c r="D28" s="99"/>
      <c r="E28" s="99"/>
    </row>
  </sheetData>
  <mergeCells count="4">
    <mergeCell ref="B4:E4"/>
    <mergeCell ref="B5:E5"/>
    <mergeCell ref="B23:E23"/>
    <mergeCell ref="B24:E24"/>
  </mergeCells>
  <printOptions horizontalCentered="1" verticalCentered="1"/>
  <pageMargins left="0.74803149606299213" right="0.74803149606299213" top="0.98425196850393704" bottom="0.98425196850393704" header="0.51181102362204722" footer="0.51181102362204722"/>
  <pageSetup paperSize="9" scale="9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80876-4ED2-4D80-978B-84A958E928B4}">
  <dimension ref="A1:N23"/>
  <sheetViews>
    <sheetView zoomScaleNormal="100" workbookViewId="0">
      <selection activeCell="G25" sqref="G25"/>
    </sheetView>
  </sheetViews>
  <sheetFormatPr defaultColWidth="9.109375" defaultRowHeight="13.2"/>
  <cols>
    <col min="1" max="1" width="21.88671875" style="91" customWidth="1"/>
    <col min="2" max="2" width="49.44140625" style="91" customWidth="1"/>
    <col min="3" max="3" width="7" style="91" bestFit="1" customWidth="1"/>
    <col min="4" max="4" width="13.33203125" style="91" customWidth="1"/>
    <col min="5" max="5" width="16.44140625" style="91" customWidth="1"/>
    <col min="6" max="6" width="7" style="91" bestFit="1" customWidth="1"/>
    <col min="7" max="7" width="16" style="91" customWidth="1"/>
    <col min="8" max="8" width="13.5546875" style="91" customWidth="1"/>
    <col min="9" max="9" width="7" style="91" bestFit="1" customWidth="1"/>
    <col min="10" max="10" width="13.5546875" style="91" bestFit="1" customWidth="1"/>
    <col min="11" max="11" width="13.6640625" style="91" customWidth="1"/>
    <col min="12" max="12" width="7" style="91" bestFit="1" customWidth="1"/>
    <col min="13" max="13" width="13.33203125" style="91" customWidth="1"/>
    <col min="14" max="14" width="13.88671875" style="91" customWidth="1"/>
    <col min="15" max="16384" width="9.109375" style="91"/>
  </cols>
  <sheetData>
    <row r="1" spans="1:14">
      <c r="J1" s="121"/>
      <c r="K1" s="123"/>
      <c r="N1" s="123" t="s">
        <v>411</v>
      </c>
    </row>
    <row r="2" spans="1:14" ht="25.5" customHeight="1">
      <c r="A2" s="155" t="s">
        <v>408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</row>
    <row r="3" spans="1:14" ht="15.6">
      <c r="A3" s="92" t="s">
        <v>371</v>
      </c>
    </row>
    <row r="5" spans="1:14">
      <c r="A5" s="91" t="s">
        <v>372</v>
      </c>
      <c r="B5" s="138"/>
    </row>
    <row r="6" spans="1:14">
      <c r="B6" s="93" t="s">
        <v>162</v>
      </c>
    </row>
    <row r="7" spans="1:14">
      <c r="A7" s="156" t="s">
        <v>373</v>
      </c>
      <c r="B7" s="156" t="s">
        <v>374</v>
      </c>
      <c r="C7" s="154" t="s">
        <v>375</v>
      </c>
      <c r="D7" s="154"/>
      <c r="E7" s="154"/>
      <c r="F7" s="154" t="s">
        <v>376</v>
      </c>
      <c r="G7" s="154"/>
      <c r="H7" s="154"/>
      <c r="I7" s="154" t="s">
        <v>398</v>
      </c>
      <c r="J7" s="154"/>
      <c r="K7" s="154"/>
      <c r="L7" s="154" t="s">
        <v>407</v>
      </c>
      <c r="M7" s="154"/>
      <c r="N7" s="154"/>
    </row>
    <row r="8" spans="1:14" ht="39.6">
      <c r="A8" s="156"/>
      <c r="B8" s="156"/>
      <c r="C8" s="94" t="s">
        <v>377</v>
      </c>
      <c r="D8" s="94" t="s">
        <v>378</v>
      </c>
      <c r="E8" s="94" t="s">
        <v>379</v>
      </c>
      <c r="F8" s="94" t="s">
        <v>377</v>
      </c>
      <c r="G8" s="94" t="s">
        <v>378</v>
      </c>
      <c r="H8" s="94" t="s">
        <v>379</v>
      </c>
      <c r="I8" s="94" t="s">
        <v>377</v>
      </c>
      <c r="J8" s="94" t="s">
        <v>378</v>
      </c>
      <c r="K8" s="94" t="s">
        <v>379</v>
      </c>
      <c r="L8" s="94" t="s">
        <v>377</v>
      </c>
      <c r="M8" s="94" t="s">
        <v>378</v>
      </c>
      <c r="N8" s="94" t="s">
        <v>379</v>
      </c>
    </row>
    <row r="9" spans="1:14">
      <c r="A9" s="95">
        <v>1</v>
      </c>
      <c r="B9" s="95">
        <v>2</v>
      </c>
      <c r="C9" s="95">
        <v>3</v>
      </c>
      <c r="D9" s="95">
        <v>4</v>
      </c>
      <c r="E9" s="95">
        <v>5</v>
      </c>
      <c r="F9" s="95">
        <v>6</v>
      </c>
      <c r="G9" s="95">
        <v>7</v>
      </c>
      <c r="H9" s="95">
        <v>8</v>
      </c>
      <c r="I9" s="95">
        <v>9</v>
      </c>
      <c r="J9" s="95">
        <v>10</v>
      </c>
      <c r="K9" s="95">
        <v>11</v>
      </c>
      <c r="L9" s="95">
        <v>9</v>
      </c>
      <c r="M9" s="95">
        <v>10</v>
      </c>
      <c r="N9" s="95">
        <v>11</v>
      </c>
    </row>
    <row r="10" spans="1:14">
      <c r="A10" s="95" t="s">
        <v>380</v>
      </c>
      <c r="B10" s="95"/>
      <c r="C10" s="95"/>
      <c r="D10" s="95"/>
      <c r="E10" s="96">
        <f>E11+E12+E13+E14+E15+E16</f>
        <v>0</v>
      </c>
      <c r="F10" s="96"/>
      <c r="G10" s="96"/>
      <c r="H10" s="96">
        <f>H11+H12+H13+H14+H15+H16</f>
        <v>0</v>
      </c>
      <c r="I10" s="96"/>
      <c r="J10" s="96"/>
      <c r="K10" s="96">
        <f>K11+K12+K13+K14+K15+K16</f>
        <v>0</v>
      </c>
      <c r="L10" s="96"/>
      <c r="M10" s="96"/>
      <c r="N10" s="96">
        <f>N11+N12+N13+N14+N15+N16</f>
        <v>0</v>
      </c>
    </row>
    <row r="11" spans="1:14" ht="27" customHeight="1">
      <c r="A11" s="97"/>
      <c r="B11" s="97"/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</row>
    <row r="12" spans="1:14" ht="24" customHeight="1">
      <c r="A12" s="97"/>
      <c r="B12" s="97"/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</row>
    <row r="13" spans="1:14" ht="22.5" customHeight="1">
      <c r="A13" s="97"/>
      <c r="B13" s="97"/>
      <c r="C13" s="97"/>
      <c r="D13" s="97"/>
      <c r="E13" s="97"/>
      <c r="F13" s="97"/>
      <c r="G13" s="97"/>
      <c r="H13" s="97"/>
      <c r="I13" s="97"/>
      <c r="J13" s="97"/>
      <c r="K13" s="97"/>
      <c r="L13" s="97"/>
      <c r="M13" s="97"/>
      <c r="N13" s="97"/>
    </row>
    <row r="14" spans="1:14" ht="22.5" customHeight="1">
      <c r="A14" s="97"/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</row>
    <row r="15" spans="1:14" ht="22.5" customHeight="1">
      <c r="A15" s="97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</row>
    <row r="16" spans="1:14" ht="30" customHeight="1">
      <c r="A16" s="97"/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</row>
    <row r="17" spans="1:11">
      <c r="A17" s="98"/>
    </row>
    <row r="18" spans="1:11">
      <c r="A18" s="99" t="s">
        <v>381</v>
      </c>
      <c r="B18" s="99"/>
      <c r="C18" s="99"/>
      <c r="D18" s="100" t="s">
        <v>382</v>
      </c>
      <c r="E18" s="99"/>
    </row>
    <row r="19" spans="1:11">
      <c r="A19" s="99" t="s">
        <v>403</v>
      </c>
      <c r="B19" s="101"/>
      <c r="C19" s="99"/>
      <c r="E19" s="101" t="s">
        <v>404</v>
      </c>
    </row>
    <row r="20" spans="1:11">
      <c r="A20" s="99" t="s">
        <v>402</v>
      </c>
      <c r="B20" s="102"/>
      <c r="C20" s="99"/>
      <c r="D20" s="99"/>
      <c r="E20" s="99"/>
      <c r="F20" s="99"/>
      <c r="G20" s="98"/>
      <c r="H20" s="98"/>
      <c r="I20" s="98"/>
      <c r="J20" s="98"/>
      <c r="K20" s="98"/>
    </row>
    <row r="21" spans="1:11">
      <c r="A21" s="99"/>
      <c r="B21" s="99"/>
      <c r="C21" s="99"/>
      <c r="D21" s="99"/>
      <c r="E21" s="99"/>
      <c r="F21" s="99"/>
    </row>
    <row r="23" spans="1:11">
      <c r="A23" s="100"/>
    </row>
  </sheetData>
  <mergeCells count="7">
    <mergeCell ref="L7:N7"/>
    <mergeCell ref="A2:N2"/>
    <mergeCell ref="A7:A8"/>
    <mergeCell ref="B7:B8"/>
    <mergeCell ref="C7:E7"/>
    <mergeCell ref="F7:H7"/>
    <mergeCell ref="I7:K7"/>
  </mergeCells>
  <pageMargins left="0.17" right="0.17" top="1" bottom="1" header="0.5" footer="0.5"/>
  <pageSetup paperSize="9" scale="6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Работни листове</vt:lpstr>
      </vt:variant>
      <vt:variant>
        <vt:i4>3</vt:i4>
      </vt:variant>
      <vt:variant>
        <vt:lpstr>Наименувани диапазони</vt:lpstr>
      </vt:variant>
      <vt:variant>
        <vt:i4>2</vt:i4>
      </vt:variant>
    </vt:vector>
  </HeadingPairs>
  <TitlesOfParts>
    <vt:vector size="5" baseType="lpstr">
      <vt:lpstr>БП</vt:lpstr>
      <vt:lpstr>§§ 02-08</vt:lpstr>
      <vt:lpstr>§ 46-00</vt:lpstr>
      <vt:lpstr>'§§ 02-08'!Област_печат</vt:lpstr>
      <vt:lpstr>БП!Печат_заглавия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Валентин Георгиев</dc:creator>
  <cp:lastModifiedBy>Атанас Тинкин</cp:lastModifiedBy>
  <cp:lastPrinted>2024-08-30T08:31:40Z</cp:lastPrinted>
  <dcterms:created xsi:type="dcterms:W3CDTF">2023-06-09T08:57:28Z</dcterms:created>
  <dcterms:modified xsi:type="dcterms:W3CDTF">2025-03-13T09:21:15Z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2.2.1</vt:lpwstr>
  </property>
</Properties>
</file>