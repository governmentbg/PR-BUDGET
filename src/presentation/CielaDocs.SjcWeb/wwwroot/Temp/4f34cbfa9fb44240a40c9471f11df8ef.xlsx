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7"/>
  <x:workbookPr codeName="ThisWorkbook" defaultThemeVersion="124226"/>
  <x:bookViews>
    <x:workbookView xWindow="32760" yWindow="32760" windowWidth="28800" windowHeight="12105" firstSheet="0" activeTab="0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45621" fullCalcOnLoad="1"/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60" i="4"/>
  <x:c r="E60" i="4"/>
  <x:c r="F60" i="4"/>
  <x:c r="G60" i="4"/>
  <x:c r="D61" i="4"/>
  <x:c r="E61" i="4"/>
  <x:c r="F61" i="4"/>
  <x:c r="G61" i="4"/>
  <x:c r="D62" i="4"/>
  <x:c r="E62" i="4"/>
  <x:c r="F62" i="4"/>
  <x:c r="G62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8" i="4"/>
  <x:c r="E68" i="4"/>
  <x:c r="F68" i="4"/>
  <x:c r="G68" i="4"/>
  <x:c r="D69" i="4"/>
  <x:c r="E69" i="4"/>
  <x:c r="F69" i="4"/>
  <x:c r="G69" i="4"/>
  <x:c r="D70" i="4"/>
  <x:c r="E70" i="4"/>
  <x:c r="F70" i="4"/>
  <x:c r="G70" i="4"/>
  <x:c r="D72" i="4"/>
  <x:c r="E72" i="4"/>
  <x:c r="F72" i="4"/>
  <x:c r="G72" i="4"/>
  <x:c r="D73" i="4"/>
  <x:c r="E73" i="4"/>
  <x:c r="F73" i="4"/>
  <x:c r="G73" i="4"/>
  <x:c r="D74" i="4"/>
  <x:c r="E74" i="4"/>
  <x:c r="F74" i="4"/>
  <x:c r="G74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7" i="4"/>
  <x:c r="E97" i="4"/>
  <x:c r="F97" i="4"/>
  <x:c r="G97" i="4"/>
  <x:c r="D98" i="4"/>
  <x:c r="E98" i="4"/>
  <x:c r="F98" i="4"/>
  <x:c r="G98" i="4"/>
  <x:c r="D99" i="4"/>
  <x:c r="E99" i="4"/>
  <x:c r="F99" i="4"/>
  <x:c r="G99" i="4"/>
  <x:c r="D106" i="4"/>
  <x:c r="E106" i="4"/>
  <x:c r="F106" i="4"/>
  <x:c r="G106" i="4"/>
  <x:c r="D107" i="4"/>
  <x:c r="E107" i="4"/>
  <x:c r="F107" i="4"/>
  <x:c r="G107" i="4"/>
  <x:c r="D108" i="4"/>
  <x:c r="E108" i="4"/>
  <x:c r="F108" i="4"/>
  <x:c r="G108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7" i="4"/>
  <x:c r="E127" i="4"/>
  <x:c r="F127" i="4"/>
  <x:c r="G127" i="4"/>
  <x:c r="D128" i="4"/>
  <x:c r="E128" i="4"/>
  <x:c r="F128" i="4"/>
  <x:c r="G128" i="4"/>
  <x:c r="D129" i="4"/>
  <x:c r="E129" i="4"/>
  <x:c r="F129" i="4"/>
  <x:c r="G129" i="4"/>
  <x:c r="D131" i="4"/>
  <x:c r="E131" i="4"/>
  <x:c r="F131" i="4"/>
  <x:c r="G131" i="4"/>
  <x:c r="D132" i="4"/>
  <x:c r="E132" i="4"/>
  <x:c r="F132" i="4"/>
  <x:c r="G132" i="4"/>
  <x:c r="D133" i="4"/>
  <x:c r="E133" i="4"/>
  <x:c r="F133" i="4"/>
  <x:c r="G133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5" i="4"/>
  <x:c r="E145" i="4"/>
  <x:c r="F145" i="4"/>
  <x:c r="G145" i="4"/>
  <x:c r="D146" i="4"/>
  <x:c r="E146" i="4"/>
  <x:c r="F146" i="4"/>
  <x:c r="G146" i="4"/>
  <x:c r="D147" i="4"/>
  <x:c r="E147" i="4"/>
  <x:c r="F147" i="4"/>
  <x:c r="G147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<x:sst xmlns:x="http://schemas.openxmlformats.org/spreadsheetml/2006/main">
  <x:si>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</x:si>
  <x:si>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</x:si>
  <x:si>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</x:si>
  <x:si>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</x:si>
  <x:si>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Прокуратура на РБ</x:t>
  </x:si>
  <x:si>
    <x:t>код №</x:t>
  </x:si>
  <x:si>
    <x:t>18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</x:si>
  <x:si>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</x:si>
  <x:si>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</x:si>
  <x:si>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</x:si>
  <x:si>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</x:si>
  <x:si>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</x:si>
  <x:si>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</x:si>
  <x:si>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</x:si>
  <x:si>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</x:si>
  <x:si>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</x:si>
  <x:si>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</x:si>
  <x:si>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</x:si>
  <x:si>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</x:si>
  <x:si>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</x:si>
  <x:si>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</x:si>
  <x:si>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</x:si>
  <x:si>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</x:si>
  <x:si>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</x:si>
  <x:si>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</x:si>
  <x:si>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</x:si>
  <x:si>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</x:si>
  <x:si>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</x:si>
  <x:si>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</x:si>
  <x:si>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</x:si>
  <x:si>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</x:si>
  <x:si>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</x:si>
  <x:si>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</x:si>
  <x:si>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</x:si>
  <x:si>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</x:si>
  <x:si>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</x:si>
  <x:si>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</x:si>
  <x:si>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</x:si>
  <x:si>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</x:si>
  <x:si>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</x:si>
  <x:si>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</x:si>
  <x:si>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</x:si>
  <x:si>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</x:si>
  <x:si>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</x:si>
  <x:si>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</x:si>
  <x:si>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</x:si>
  <x:si>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</x:si>
  <x:si>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</x:si>
  <x:si>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</x:si>
  <x:si>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</x:si>
  <x:si>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</x:si>
  <x:si>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01.01.02.P;01.02.02.P;02.01.02.P;02.02.02.P;02.03.02.P;03.01.02.P;05.01.01.P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</x:si>
  <x:si>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</x:si>
  <x:si>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</x:si>
  <x:si>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</x:si>
  <x:si>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</x:si>
  <x:si>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</x:si>
  <x:si>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</x:si>
  <x:si>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</x:si>
  <x:si>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</x:si>
  <x:si>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</x:si>
  <x:si>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</x:si>
  <x:si>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</x:si>
  <x:si>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</x:si>
  <x:si>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</x:si>
  <x:si>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</x:si>
  <x:si>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</x:si>
  <x:si>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</x:si>
  <x:si>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</x:si>
  <x:si>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</x:si>
  <x:si>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</x:si>
  <x:si>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</x:si>
  <x:si>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</x:si>
  <x:si>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</x:si>
  <x:si>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</x:si>
  <x:si>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</x:si>
  <x:si>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</x:si>
  <x:si>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</x:si>
  <x:si>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</x:si>
  <x:si>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</x:si>
  <x:si>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</x:si>
  <x:si>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</x:si>
  <x:si>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</x:si>
  <x:si>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</x:si>
  <x:si>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</x:si>
  <x:si>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</x:si>
  <x:si>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</x:si>
  <x:si>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</x:si>
  <x:si>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</x:si>
  <x:si>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</x:si>
  <x:si>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</x:si>
  <x:si>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</x:si>
  <x:si>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</x:si>
  <x:si>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</x:si>
  <x:si>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</x:si>
  <x:si>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</x:si>
  <x:si>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</x:si>
  <x:si>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</x:si>
  <x:si>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</x:si>
  <x:si>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</x:si>
  <x:si>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</x:si>
  <x:si>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</x:si>
  <x:si>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</x:si>
  <x:si>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</x:si>
  <x:si>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</x:si>
  <x:si>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</x:si>
  <x:si>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</x:si>
  <x:si>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</x:si>
  <x:si>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</x:si>
  <x:si>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</x:si>
  <x:si>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</x:si>
  <x:si>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</x:si>
  <x:si>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</x:si>
  <x:si>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</x:si>
  <x:si>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</x:si>
  <x:si>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</x:si>
  <x:si>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</x:si>
  <x:si>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</x:si>
  <x:si>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</x:si>
  <x:si>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</x:si>
  <x:si>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</x:si>
  <x:si>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</x:si>
  <x:si>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</x:si>
  <x:si>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</x:si>
  <x:si>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</x:si>
  <x:si>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</x:si>
  <x:si>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</x:si>
  <x:si>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</x:si>
  <x:si>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</x:si>
  <x:si>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</x:si>
  <x:si>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</x:si>
  <x:si>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</x:si>
  <x:si>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</x:si>
  <x:si>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</x:si>
  <x:si>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</x:si>
  <x:si>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</x:si>
  <x:si>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</x:si>
  <x:si>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</x:si>
  <x:si>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</x:si>
  <x:si>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</x:si>
  <x:si>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</x:si>
  <x:si>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</x:si>
  <x:si>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</x:si>
  <x:si>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</x:si>
  <x:si>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</x:si>
  <x:si>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</x:si>
  <x:si>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</x:si>
  <x:si>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</x:si>
  <x:si>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</x:si>
  <x:si>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</x:si>
  <x:si>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</x:si>
  <x:si>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</x:si>
  <x:si>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</x:si>
  <x:si>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</x:si>
  <x:si>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</x:si>
  <x:si>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</x:si>
  <x:si>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</x:si>
  <x:si>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</x:si>
  <x:si>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</x:si>
  <x:si>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</x:si>
  <x:si>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</x:si>
  <x:si>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</x:si>
  <x:si>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</x:si>
  <x:si>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</x:si>
  <x:si>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</x:si>
  <x:si>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</x:si>
  <x:si>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</x:si>
  <x:si>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</x:si>
  <x:si>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</x:si>
  <x:si>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</x:si>
  <x:si>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</x:si>
  <x:si>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</x:si>
  <x:si>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</x:si>
  <x:si>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</x:si>
  <x:si>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</x:si>
  <x:si>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</x:si>
  <x:si>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</x:si>
  <x:si>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</x:si>
  <x:si>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</x:si>
  <x:si>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</x:si>
  <x:si>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</x:si>
  <x:si>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</x:si>
  <x:si>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</x:si>
  <x:si>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</x:si>
  <x:si>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</x:si>
  <x:si>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</x:si>
  <x:si>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</x:si>
  <x:si>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</x:si>
  <x:si>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</x:si>
  <x:si>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</x:si>
  <x:si>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</x:si>
  <x:si>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</x:si>
  <x:si>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</x:si>
  <x:si>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</x:si>
  <x:si>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</x:si>
  <x:si>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</x:si>
  <x:si>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</x:si>
  <x:si>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</x:si>
  <x:si>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</x:si>
  <x:si>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</x:si>
  <x:si>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</x:si>
  <x:si>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</x:si>
  <x:si>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</x:si>
  <x:si>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</x:si>
  <x:si>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</x:si>
  <x:si>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</x:si>
  <x:si>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</x:si>
  <x:si>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</x:si>
  <x:si>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</x:si>
  <x:si>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</x:si>
  <x:si>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</x:si>
  <x:si>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</x:si>
  <x:si>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</x:si>
  <x:si>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</x:si>
  <x:si>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</x:si>
  <x:si>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</x:si>
  <x:si>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</x:si>
  <x:si>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</x:si>
  <x:si>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</x:si>
  <x:si>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</x:si>
  <x:si>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</x:si>
  <x:si>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</x:si>
  <x:si>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</x:si>
  <x:si>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</x:si>
  <x:si>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</x:si>
  <x:si>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</x:si>
  <x:si>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</x:si>
  <x:si>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</x:si>
  <x:si>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</x:si>
  <x:si>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</x:si>
  <x:si>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</x:si>
  <x:si>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</x:si>
  <x:si>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</x:si>
  <x:si>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</x:si>
  <x:si>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</x:si>
  <x:si>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</x:si>
  <x:si>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</x:si>
  <x:si>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</x:si>
  <x:si>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</x:si>
  <x:si>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</x:si>
  <x:si>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</x:si>
  <x:si>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</x:si>
  <x:si>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</x:si>
  <x:si>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</x:si>
  <x:si>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</x:si>
  <x:si>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</x:si>
  <x:si>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</x:si>
  <x:si>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</x:si>
  <x:si>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</x:si>
  <x:si>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</x:si>
  <x:si>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</x:si>
  <x:si>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</x:si>
  <x:si>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</x:si>
  <x:si>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</x:si>
  <x:si>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</x:si>
  <x:si>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</x:si>
  <x:si>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</x:si>
  <x:si>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</x:si>
  <x:si>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</x:si>
  <x:si>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</x:si>
  <x:si>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</x:si>
  <x:si>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</x:si>
  <x:si>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</x:si>
  <x:si>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</x:si>
  <x:si>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</x:si>
  <x:si>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</x:si>
  <x:si>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</x:si>
  <x:si>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</x:si>
  <x:si>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</x:si>
  <x:si>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</x:si>
  <x:si>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</x:si>
  <x:si>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</x:si>
  <x:si>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</x:si>
  <x:si>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</x:si>
  <x:si>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</x:si>
  <x:si>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</x:si>
  <x:si>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</x:si>
  <x:si>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</x:si>
  <x:si>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</x:si>
  <x:si>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</x:si>
  <x:si>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</x:si>
  <x:si>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</x:si>
  <x:si>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</x:si>
  <x:si>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</x:si>
  <x:si>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</x:si>
  <x:si>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</x:si>
  <x:si>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</x:si>
  <x:si>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</x:si>
  <x:si>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</x:si>
  <x:si>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</x:si>
  <x:si>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</x:si>
  <x:si>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</x:si>
  <x:si>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</x:si>
  <x:si>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</x:si>
  <x:si>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</x:si>
  <x:si>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</x:si>
  <x:si>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</x:si>
  <x:si>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</x:si>
  <x:si>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</x:si>
  <x:si>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</x:si>
  <x:si>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</x:si>
  <x:si>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</x:si>
  <x:si>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</x:si>
  <x:si>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</x:si>
  <x:si>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</x:si>
  <x:si>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</x:si>
  <x:si>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</x:si>
  <x:si>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</x:si>
  <x:si>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</x:si>
  <x:si>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</x:si>
  <x:si>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</x:si>
  <x:si>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</x:si>
  <x:si>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</x:si>
  <x:si>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</x:si>
  <x:si>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</x:si>
  <x:si>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</x:si>
  <x:si>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01.01.03.К</x:t>
  </x:si>
  <x:si>
    <x:t>01.01.04.К;01.02.03.К;02.01.03.К;02.02.03.К;02.03.03.К;03.01.03.К;05.01.01.К</x:t>
  </x:si>
  <x:si>
    <x:t xml:space="preserve"> Основен ремонт на ДМА за учебна и почивна дейност</x:t>
  </x:si>
  <x:si>
    <x:t>02.01.04.К;02.02.04К; 03.01.04.К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</x:si>
  <x:si>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</x:si>
  <x:si>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</x:si>
  <x:si>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</x:si>
  <x:si>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</x:si>
  <x:si>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</x:si>
  <x:si>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04.01.01.К;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</x:si>
  <x:si>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</x:si>
  <x:si>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</x:si>
  <x:si>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</x:si>
  <x:si>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</x:si>
  <x:si>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</x:si>
  <x:si>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</x:si>
  <x:si>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01.01.04.К; 01.02.03.К; 02.01.03.К;02.02.03.К;02.03.03.К; 03.01.03.К; 05.01.01.К</x:t>
  </x:si>
  <x:si>
    <x:t>придобиване на друго оборудване и съоръжения за учебна и почивна дейност</x:t>
  </x:si>
  <x:si>
    <x:t>02.01.04.К; 02.02.04.К; 03.01.04.К;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</x:si>
  <x:si>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</x:si>
  <x:si>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</x:si>
  <x:si>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</x:si>
  <x:si>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</x:si>
  <x:si>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</x:si>
  <x:si>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</x:si>
  <x:si>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</x:si>
  <x:si>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</x:si>
  <x:si>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</x:si>
  <x:si>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</x:si>
  <x:si>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</x:si>
  <x:si>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</x:si>
  <x:si>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</x:si>
  <x:si>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</x:si>
  <x:si>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</x:si>
  <x:si>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</x:si>
  <x:si>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</x:si>
  <x:si>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</x:si>
  <x:si>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</x:si>
  <x:si>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</x:si>
  <x:si>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</x:si>
  <x:si>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</x:si>
  <x:si>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</x:si>
  <x:si>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</x:si>
  <x:si>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</x:si>
  <x:si>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</x:si>
  <x:si>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</x:si>
  <x:si>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2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</x:si>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</x:sst>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="http://schemas.openxmlformats.org/spreadsheetml/2006/main">
  <x:numFmts count="1">
    <x:numFmt numFmtId="183" formatCode="#,##0.00\ &quot;лв.&quot;"/>
  </x:numFmts>
  <x:fonts count="22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07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0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6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0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/>
    <x:cellStyle name="Normal 3" xfId="2"/>
    <x:cellStyle name="Normal 4" xfId="3"/>
    <x:cellStyle name="Normal 5" xfId="4"/>
    <x:cellStyle name="Нормален" xfId="0" builtinId="0"/>
  </x:cellStyles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225"/>
  <x:sheetViews>
    <x:sheetView tabSelected="1" zoomScale="115" zoomScaleNormal="115" workbookViewId="0">
      <x:selection activeCell="I15" sqref="I15"/>
    </x:sheetView>
  </x:sheetViews>
  <x:sheetFormatPr defaultRowHeight="12.75"/>
  <x:cols>
    <x:col min="1" max="1" width="4.570312" style="0" customWidth="1"/>
    <x:col min="2" max="2" width="83.710938" style="0" customWidth="1"/>
    <x:col min="3" max="3" width="8.285156" style="0" customWidth="1"/>
    <x:col min="4" max="4" width="14" style="95" customWidth="1"/>
    <x:col min="5" max="5" width="14.425781" style="95" customWidth="1"/>
    <x:col min="6" max="7" width="15" style="95" customWidth="1"/>
    <x:col min="8" max="8" width="19.710938" style="0" customWidth="1"/>
    <x:col min="9" max="9" width="38.425781" style="163" customWidth="1"/>
    <x:col min="10" max="51" width="9.140625" style="163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5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5" customHeight="1" thickBot="1">
      <x:c r="A5" s="5" t="s">
        <x:v>3</x:v>
      </x:c>
      <x:c r="B5" s="164" t="s">
        <x:v>4</x:v>
      </x:c>
      <x:c r="C5" s="164"/>
      <x:c r="D5" s="164"/>
      <x:c r="E5" s="164"/>
      <x:c r="F5" s="165"/>
      <x:c r="G5" s="165" t="s">
        <x:v>5</x:v>
      </x:c>
      <x:c r="H5" s="166" t="s">
        <x:v>6</x:v>
      </x:c>
      <x:c r="I5" s="163"/>
    </x:row>
    <x:row r="6" spans="1:51">
      <x:c r="A6" s="8"/>
      <x:c r="B6" s="167" t="s">
        <x:v>7</x:v>
      </x:c>
      <x:c r="C6" s="167"/>
      <x:c r="D6" s="167"/>
      <x:c r="E6" s="167"/>
      <x:c r="F6" s="84"/>
      <x:c r="G6" s="84"/>
      <x:c r="H6" s="6"/>
    </x:row>
    <x:row r="7" spans="1:51">
      <x:c r="A7" s="8"/>
      <x:c r="B7" s="167"/>
      <x:c r="C7" s="167"/>
      <x:c r="D7" s="168"/>
      <x:c r="E7" s="168"/>
      <x:c r="F7" s="84"/>
      <x:c r="G7" s="84"/>
      <x:c r="H7" s="6"/>
    </x:row>
    <x:row r="8" spans="1:51" ht="25.5" customHeight="1">
      <x:c r="A8" s="169" t="s">
        <x:v>8</x:v>
      </x:c>
      <x:c r="B8" s="169" t="s">
        <x:v>9</x:v>
      </x:c>
      <x:c r="C8" s="170" t="s">
        <x:v>10</x:v>
      </x:c>
      <x:c r="D8" s="171" t="s">
        <x:v>11</x:v>
      </x:c>
      <x:c r="E8" s="171" t="s">
        <x:v>12</x:v>
      </x:c>
      <x:c r="F8" s="171" t="s">
        <x:v>13</x:v>
      </x:c>
      <x:c r="G8" s="171" t="s">
        <x:v>14</x:v>
      </x:c>
      <x:c r="H8" s="172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3" t="s">
        <x:v>17</x:v>
      </x:c>
      <x:c r="B10" s="174" t="s">
        <x:v>18</x:v>
      </x:c>
      <x:c r="C10" s="175" t="s">
        <x:v>19</x:v>
      </x:c>
      <x:c r="D10" s="176">
        <x:f>D11+D12+D13</x:f>
      </x:c>
      <x:c r="E10" s="176">
        <x:f>E11+E12+E13</x:f>
      </x:c>
      <x:c r="F10" s="176">
        <x:f>F11+F12+F13</x:f>
      </x:c>
      <x:c r="G10" s="176">
        <x:f>G11+G12+G13</x:f>
      </x:c>
      <x:c r="H10" s="177"/>
    </x:row>
    <x:row r="11" spans="1:51" ht="51" customHeight="1">
      <x:c r="A11" s="48"/>
      <x:c r="B11" s="178" t="s">
        <x:v>20</x:v>
      </x:c>
      <x:c r="C11" s="179" t="s">
        <x:v>21</x:v>
      </x:c>
      <x:c r="D11" s="180"/>
      <x:c r="E11" s="180"/>
      <x:c r="F11" s="180"/>
      <x:c r="G11" s="180"/>
      <x:c r="H11" s="181" t="s">
        <x:v>22</x:v>
      </x:c>
      <x:c r="I11" s="182"/>
    </x:row>
    <x:row r="12" spans="1:51" ht="57.75" customHeight="1">
      <x:c r="A12" s="48"/>
      <x:c r="B12" s="178" t="s">
        <x:v>23</x:v>
      </x:c>
      <x:c r="C12" s="179" t="s">
        <x:v>24</x:v>
      </x:c>
      <x:c r="D12" s="180"/>
      <x:c r="E12" s="180"/>
      <x:c r="F12" s="180"/>
      <x:c r="G12" s="180"/>
      <x:c r="H12" s="183" t="s">
        <x:v>25</x:v>
      </x:c>
      <x:c r="I12" s="182"/>
    </x:row>
    <x:row r="13" spans="1:51" ht="25.5" customHeight="1">
      <x:c r="A13" s="48"/>
      <x:c r="B13" s="184" t="s">
        <x:v>26</x:v>
      </x:c>
      <x:c r="C13" s="179" t="s">
        <x:v>27</x:v>
      </x:c>
      <x:c r="D13" s="180"/>
      <x:c r="E13" s="180"/>
      <x:c r="F13" s="180"/>
      <x:c r="G13" s="180"/>
      <x:c r="H13" s="185" t="s">
        <x:v>28</x:v>
      </x:c>
      <x:c r="I13" s="182"/>
      <x:c r="J13" s="186"/>
    </x:row>
    <x:row r="14" spans="1:51" s="163" customFormat="1">
      <x:c r="A14" s="173" t="s">
        <x:v>29</x:v>
      </x:c>
      <x:c r="B14" s="174" t="s">
        <x:v>30</x:v>
      </x:c>
      <x:c r="C14" s="175" t="s">
        <x:v>31</x:v>
      </x:c>
      <x:c r="D14" s="176">
        <x:f>D15+D18+D24+D37+D41</x:f>
      </x:c>
      <x:c r="E14" s="176">
        <x:f>E15+E18+E24+E37+E41</x:f>
      </x:c>
      <x:c r="F14" s="176">
        <x:f>F15+F18+F24+F37+F41</x:f>
      </x:c>
      <x:c r="G14" s="176">
        <x:f>G15+G18+G24+G37+G41</x:f>
      </x:c>
      <x:c r="H14" s="187"/>
    </x:row>
    <x:row r="15" spans="1:51" s="163" customFormat="1">
      <x:c r="A15" s="188" t="s">
        <x:v>32</x:v>
      </x:c>
      <x:c r="B15" s="189" t="s">
        <x:v>33</x:v>
      </x:c>
      <x:c r="C15" s="190" t="s">
        <x:v>34</x:v>
      </x:c>
      <x:c r="D15" s="191">
        <x:f>D16+D17</x:f>
      </x:c>
      <x:c r="E15" s="191">
        <x:f>E16+E17</x:f>
      </x:c>
      <x:c r="F15" s="191">
        <x:f>F16+F17</x:f>
      </x:c>
      <x:c r="G15" s="191">
        <x:f>G16+G17</x:f>
      </x:c>
      <x:c r="H15" s="183"/>
      <x:c r="I15" s="163"/>
    </x:row>
    <x:row r="16" spans="1:51" s="163" customFormat="1">
      <x:c r="A16" s="192"/>
      <x:c r="B16" s="178" t="s">
        <x:v>35</x:v>
      </x:c>
      <x:c r="C16" s="179" t="s">
        <x:v>36</x:v>
      </x:c>
      <x:c r="D16" s="180"/>
      <x:c r="E16" s="180"/>
      <x:c r="F16" s="180"/>
      <x:c r="G16" s="180"/>
      <x:c r="H16" s="183" t="s">
        <x:v>37</x:v>
      </x:c>
      <x:c r="I16" s="163"/>
    </x:row>
    <x:row r="17" spans="1:51" s="163" customFormat="1" ht="45" customHeight="1">
      <x:c r="A17" s="192"/>
      <x:c r="B17" s="178" t="s">
        <x:v>38</x:v>
      </x:c>
      <x:c r="C17" s="179" t="s">
        <x:v>39</x:v>
      </x:c>
      <x:c r="D17" s="180"/>
      <x:c r="E17" s="180"/>
      <x:c r="F17" s="180"/>
      <x:c r="G17" s="180"/>
      <x:c r="H17" s="183" t="s">
        <x:v>40</x:v>
      </x:c>
    </x:row>
    <x:row r="18" spans="1:51" s="163" customFormat="1">
      <x:c r="A18" s="188" t="s">
        <x:v>41</x:v>
      </x:c>
      <x:c r="B18" s="189" t="s">
        <x:v>42</x:v>
      </x:c>
      <x:c r="C18" s="190" t="s">
        <x:v>43</x:v>
      </x:c>
      <x:c r="D18" s="191">
        <x:f>D19+D22+D23</x:f>
      </x:c>
      <x:c r="E18" s="191">
        <x:f>E19+E22+E23</x:f>
      </x:c>
      <x:c r="F18" s="191">
        <x:f>F19+F22+F23</x:f>
      </x:c>
      <x:c r="G18" s="191">
        <x:f>G19+G22+G23</x:f>
      </x:c>
      <x:c r="H18" s="183"/>
    </x:row>
    <x:row r="19" spans="1:51" s="163" customFormat="1">
      <x:c r="A19" s="188" t="s">
        <x:v>44</x:v>
      </x:c>
      <x:c r="B19" s="178" t="s">
        <x:v>45</x:v>
      </x:c>
      <x:c r="C19" s="193" t="s">
        <x:v>46</x:v>
      </x:c>
      <x:c r="D19" s="194">
        <x:f>D20+D21</x:f>
      </x:c>
      <x:c r="E19" s="194">
        <x:f>E20+E21</x:f>
      </x:c>
      <x:c r="F19" s="194">
        <x:f>F20+F21</x:f>
      </x:c>
      <x:c r="G19" s="194">
        <x:f>G20+G21</x:f>
      </x:c>
      <x:c r="H19" s="183"/>
    </x:row>
    <x:row r="20" spans="1:51" s="163" customFormat="1" ht="51" customHeight="1">
      <x:c r="A20" s="192"/>
      <x:c r="B20" s="178" t="s">
        <x:v>47</x:v>
      </x:c>
      <x:c r="C20" s="179" t="s">
        <x:v>48</x:v>
      </x:c>
      <x:c r="D20" s="180"/>
      <x:c r="E20" s="180"/>
      <x:c r="F20" s="180"/>
      <x:c r="G20" s="180"/>
      <x:c r="H20" s="181" t="s">
        <x:v>22</x:v>
      </x:c>
    </x:row>
    <x:row r="21" spans="1:51" s="163" customFormat="1" ht="51" customHeight="1">
      <x:c r="A21" s="192"/>
      <x:c r="B21" s="178" t="s">
        <x:v>49</x:v>
      </x:c>
      <x:c r="C21" s="179" t="s">
        <x:v>50</x:v>
      </x:c>
      <x:c r="D21" s="180"/>
      <x:c r="E21" s="180"/>
      <x:c r="F21" s="180"/>
      <x:c r="G21" s="180"/>
      <x:c r="H21" s="183" t="s">
        <x:v>51</x:v>
      </x:c>
    </x:row>
    <x:row r="22" spans="1:51" s="163" customFormat="1" ht="25.5" customHeight="1">
      <x:c r="A22" s="188" t="s">
        <x:v>52</x:v>
      </x:c>
      <x:c r="B22" s="178" t="s">
        <x:v>53</x:v>
      </x:c>
      <x:c r="C22" s="193" t="s">
        <x:v>54</x:v>
      </x:c>
      <x:c r="D22" s="180"/>
      <x:c r="E22" s="180"/>
      <x:c r="F22" s="180"/>
      <x:c r="G22" s="180"/>
      <x:c r="H22" s="183" t="s">
        <x:v>55</x:v>
      </x:c>
      <x:c r="I22" s="186"/>
    </x:row>
    <x:row r="23" spans="1:51" s="163" customFormat="1" ht="51" customHeight="1">
      <x:c r="A23" s="188" t="s">
        <x:v>56</x:v>
      </x:c>
      <x:c r="B23" s="178" t="s">
        <x:v>57</x:v>
      </x:c>
      <x:c r="C23" s="193" t="s">
        <x:v>58</x:v>
      </x:c>
      <x:c r="D23" s="180"/>
      <x:c r="E23" s="180"/>
      <x:c r="F23" s="180"/>
      <x:c r="G23" s="180"/>
      <x:c r="H23" s="181" t="s">
        <x:v>22</x:v>
      </x:c>
      <x:c r="I23" s="186"/>
    </x:row>
    <x:row r="24" spans="1:51" s="163" customFormat="1">
      <x:c r="A24" s="188" t="s">
        <x:v>59</x:v>
      </x:c>
      <x:c r="B24" s="189" t="s">
        <x:v>60</x:v>
      </x:c>
      <x:c r="C24" s="190" t="s">
        <x:v>61</x:v>
      </x:c>
      <x:c r="D24" s="191">
        <x:f>D25+D29+D33</x:f>
      </x:c>
      <x:c r="E24" s="191">
        <x:f>E25+E29+E33</x:f>
      </x:c>
      <x:c r="F24" s="191">
        <x:f>F25+F29+F33</x:f>
      </x:c>
      <x:c r="G24" s="191">
        <x:f>G25+G29+G33</x:f>
      </x:c>
      <x:c r="H24" s="183"/>
    </x:row>
    <x:row r="25" spans="1:51" s="163" customFormat="1">
      <x:c r="A25" s="188" t="s">
        <x:v>62</x:v>
      </x:c>
      <x:c r="B25" s="178" t="s">
        <x:v>63</x:v>
      </x:c>
      <x:c r="C25" s="193" t="s">
        <x:v>64</x:v>
      </x:c>
      <x:c r="D25" s="194">
        <x:f>D26+D27+D28</x:f>
      </x:c>
      <x:c r="E25" s="194">
        <x:f>E26+E27+E28</x:f>
      </x:c>
      <x:c r="F25" s="194">
        <x:f>F26+F27+F28</x:f>
      </x:c>
      <x:c r="G25" s="194">
        <x:f>G26+G27+G28</x:f>
      </x:c>
      <x:c r="H25" s="183"/>
      <x:c r="I25" s="163"/>
    </x:row>
    <x:row r="26" spans="1:51" ht="53.25" customHeight="1">
      <x:c r="A26" s="48"/>
      <x:c r="B26" s="195" t="s">
        <x:v>65</x:v>
      </x:c>
      <x:c r="C26" s="179" t="s">
        <x:v>66</x:v>
      </x:c>
      <x:c r="D26" s="180"/>
      <x:c r="E26" s="180"/>
      <x:c r="F26" s="180"/>
      <x:c r="G26" s="180"/>
      <x:c r="H26" s="181" t="s">
        <x:v>22</x:v>
      </x:c>
    </x:row>
    <x:row r="27" spans="1:51" ht="54.75" customHeight="1">
      <x:c r="A27" s="48"/>
      <x:c r="B27" s="195" t="s">
        <x:v>67</x:v>
      </x:c>
      <x:c r="C27" s="179" t="s">
        <x:v>68</x:v>
      </x:c>
      <x:c r="D27" s="180"/>
      <x:c r="E27" s="180"/>
      <x:c r="F27" s="180"/>
      <x:c r="G27" s="180"/>
      <x:c r="H27" s="183" t="s">
        <x:v>51</x:v>
      </x:c>
    </x:row>
    <x:row r="28" spans="1:51" ht="25.5" customHeight="1">
      <x:c r="A28" s="48"/>
      <x:c r="B28" s="195" t="s">
        <x:v>69</x:v>
      </x:c>
      <x:c r="C28" s="179" t="s">
        <x:v>70</x:v>
      </x:c>
      <x:c r="D28" s="180"/>
      <x:c r="E28" s="180"/>
      <x:c r="F28" s="180"/>
      <x:c r="G28" s="180"/>
      <x:c r="H28" s="185" t="s">
        <x:v>28</x:v>
      </x:c>
    </x:row>
    <x:row r="29" spans="1:51" s="163" customFormat="1">
      <x:c r="A29" s="188" t="s">
        <x:v>71</x:v>
      </x:c>
      <x:c r="B29" s="178" t="s">
        <x:v>72</x:v>
      </x:c>
      <x:c r="C29" s="179" t="s">
        <x:v>73</x:v>
      </x:c>
      <x:c r="D29" s="194">
        <x:f>D30+D31+D32</x:f>
      </x:c>
      <x:c r="E29" s="194">
        <x:f>E30+E31+E32</x:f>
      </x:c>
      <x:c r="F29" s="194">
        <x:f>F30+F31+F32</x:f>
      </x:c>
      <x:c r="G29" s="194">
        <x:f>G30+G31+G32</x:f>
      </x:c>
      <x:c r="H29" s="183"/>
    </x:row>
    <x:row r="30" spans="1:51" s="163" customFormat="1" ht="51" customHeight="1">
      <x:c r="A30" s="192"/>
      <x:c r="B30" s="195" t="s">
        <x:v>74</x:v>
      </x:c>
      <x:c r="C30" s="179" t="s">
        <x:v>75</x:v>
      </x:c>
      <x:c r="D30" s="180"/>
      <x:c r="E30" s="180"/>
      <x:c r="F30" s="180"/>
      <x:c r="G30" s="180"/>
      <x:c r="H30" s="181" t="s">
        <x:v>22</x:v>
      </x:c>
    </x:row>
    <x:row r="31" spans="1:51" s="163" customFormat="1" ht="51" customHeight="1">
      <x:c r="A31" s="192"/>
      <x:c r="B31" s="195" t="s">
        <x:v>76</x:v>
      </x:c>
      <x:c r="C31" s="179" t="s">
        <x:v>77</x:v>
      </x:c>
      <x:c r="D31" s="180"/>
      <x:c r="E31" s="180"/>
      <x:c r="F31" s="180"/>
      <x:c r="G31" s="180"/>
      <x:c r="H31" s="183" t="s">
        <x:v>51</x:v>
      </x:c>
    </x:row>
    <x:row r="32" spans="1:51" s="163" customFormat="1" ht="25.5" customHeight="1">
      <x:c r="A32" s="192"/>
      <x:c r="B32" s="195" t="s">
        <x:v>78</x:v>
      </x:c>
      <x:c r="C32" s="179" t="s">
        <x:v>79</x:v>
      </x:c>
      <x:c r="D32" s="180"/>
      <x:c r="E32" s="180"/>
      <x:c r="F32" s="180"/>
      <x:c r="G32" s="180"/>
      <x:c r="H32" s="185" t="s">
        <x:v>28</x:v>
      </x:c>
    </x:row>
    <x:row r="33" spans="1:51" s="163" customFormat="1">
      <x:c r="A33" s="188" t="s">
        <x:v>80</x:v>
      </x:c>
      <x:c r="B33" s="178" t="s">
        <x:v>81</x:v>
      </x:c>
      <x:c r="C33" s="179" t="s">
        <x:v>82</x:v>
      </x:c>
      <x:c r="D33" s="194">
        <x:f>D34+D35+D36</x:f>
      </x:c>
      <x:c r="E33" s="194">
        <x:f>E34+E35+E36</x:f>
      </x:c>
      <x:c r="F33" s="194">
        <x:f>F34+F35+F36</x:f>
      </x:c>
      <x:c r="G33" s="194">
        <x:f>G34+G35+G36</x:f>
      </x:c>
      <x:c r="H33" s="196"/>
    </x:row>
    <x:row r="34" spans="1:51" s="163" customFormat="1" ht="51" customHeight="1">
      <x:c r="A34" s="192"/>
      <x:c r="B34" s="195" t="s">
        <x:v>83</x:v>
      </x:c>
      <x:c r="C34" s="179" t="s">
        <x:v>84</x:v>
      </x:c>
      <x:c r="D34" s="180"/>
      <x:c r="E34" s="180"/>
      <x:c r="F34" s="180"/>
      <x:c r="G34" s="180"/>
      <x:c r="H34" s="181" t="s">
        <x:v>22</x:v>
      </x:c>
    </x:row>
    <x:row r="35" spans="1:51" s="163" customFormat="1" ht="51" customHeight="1">
      <x:c r="A35" s="192"/>
      <x:c r="B35" s="195" t="s">
        <x:v>85</x:v>
      </x:c>
      <x:c r="C35" s="179" t="s">
        <x:v>86</x:v>
      </x:c>
      <x:c r="D35" s="180"/>
      <x:c r="E35" s="180"/>
      <x:c r="F35" s="180"/>
      <x:c r="G35" s="180"/>
      <x:c r="H35" s="183" t="s">
        <x:v>51</x:v>
      </x:c>
    </x:row>
    <x:row r="36" spans="1:51" s="163" customFormat="1" ht="25.5" customHeight="1">
      <x:c r="A36" s="192"/>
      <x:c r="B36" s="195" t="s">
        <x:v>87</x:v>
      </x:c>
      <x:c r="C36" s="179" t="s">
        <x:v>88</x:v>
      </x:c>
      <x:c r="D36" s="180"/>
      <x:c r="E36" s="180"/>
      <x:c r="F36" s="180"/>
      <x:c r="G36" s="180"/>
      <x:c r="H36" s="185" t="s">
        <x:v>28</x:v>
      </x:c>
    </x:row>
    <x:row r="37" spans="1:51">
      <x:c r="A37" s="61" t="s">
        <x:v>89</x:v>
      </x:c>
      <x:c r="B37" s="14" t="s">
        <x:v>90</x:v>
      </x:c>
      <x:c r="C37" s="62" t="s">
        <x:v>91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51" customHeight="1">
      <x:c r="A38" s="48"/>
      <x:c r="B38" s="178" t="s">
        <x:v>92</x:v>
      </x:c>
      <x:c r="C38" s="179" t="s">
        <x:v>93</x:v>
      </x:c>
      <x:c r="D38" s="180"/>
      <x:c r="E38" s="180"/>
      <x:c r="F38" s="180"/>
      <x:c r="G38" s="180"/>
      <x:c r="H38" s="183" t="s">
        <x:v>22</x:v>
      </x:c>
    </x:row>
    <x:row r="39" spans="1:51" ht="51" customHeight="1">
      <x:c r="A39" s="48"/>
      <x:c r="B39" s="178" t="s">
        <x:v>94</x:v>
      </x:c>
      <x:c r="C39" s="179" t="s">
        <x:v>95</x:v>
      </x:c>
      <x:c r="D39" s="180"/>
      <x:c r="E39" s="180"/>
      <x:c r="F39" s="180"/>
      <x:c r="G39" s="180"/>
      <x:c r="H39" s="183" t="s">
        <x:v>51</x:v>
      </x:c>
    </x:row>
    <x:row r="40" spans="1:51" ht="25.5" customHeight="1">
      <x:c r="A40" s="48"/>
      <x:c r="B40" s="178" t="s">
        <x:v>96</x:v>
      </x:c>
      <x:c r="C40" s="179" t="s">
        <x:v>97</x:v>
      </x:c>
      <x:c r="D40" s="180"/>
      <x:c r="E40" s="180"/>
      <x:c r="F40" s="180"/>
      <x:c r="G40" s="180"/>
      <x:c r="H40" s="183" t="s">
        <x:v>28</x:v>
      </x:c>
    </x:row>
    <x:row r="41" spans="1:51">
      <x:c r="A41" s="61" t="s">
        <x:v>98</x:v>
      </x:c>
      <x:c r="B41" s="14" t="s">
        <x:v>99</x:v>
      </x:c>
      <x:c r="C41" s="62" t="s">
        <x:v>100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101</x:v>
      </x:c>
      <x:c r="C42" s="179" t="s">
        <x:v>102</x:v>
      </x:c>
      <x:c r="D42" s="180"/>
      <x:c r="E42" s="180"/>
      <x:c r="F42" s="180"/>
      <x:c r="G42" s="180"/>
      <x:c r="H42" s="183" t="s">
        <x:v>22</x:v>
      </x:c>
    </x:row>
    <x:row r="43" spans="1:51" ht="51" customHeight="1">
      <x:c r="A43" s="48"/>
      <x:c r="B43" s="13" t="s">
        <x:v>103</x:v>
      </x:c>
      <x:c r="C43" s="179" t="s">
        <x:v>104</x:v>
      </x:c>
      <x:c r="D43" s="180"/>
      <x:c r="E43" s="180"/>
      <x:c r="F43" s="180"/>
      <x:c r="G43" s="180"/>
      <x:c r="H43" s="183" t="s">
        <x:v>51</x:v>
      </x:c>
    </x:row>
    <x:row r="44" spans="1:51" ht="25.5" customHeight="1">
      <x:c r="A44" s="48"/>
      <x:c r="B44" s="13" t="s">
        <x:v>105</x:v>
      </x:c>
      <x:c r="C44" s="179" t="s">
        <x:v>106</x:v>
      </x:c>
      <x:c r="D44" s="180"/>
      <x:c r="E44" s="180"/>
      <x:c r="F44" s="180"/>
      <x:c r="G44" s="180"/>
      <x:c r="H44" s="183" t="s">
        <x:v>28</x:v>
      </x:c>
    </x:row>
    <x:row r="45" spans="1:51">
      <x:c r="A45" s="173" t="s">
        <x:v>107</x:v>
      </x:c>
      <x:c r="B45" s="174" t="s">
        <x:v>108</x:v>
      </x:c>
      <x:c r="C45" s="175" t="s">
        <x:v>109</x:v>
      </x:c>
      <x:c r="D45" s="176">
        <x:f>D46+D50+D54</x:f>
      </x:c>
      <x:c r="E45" s="176">
        <x:f>E46+E50+E54</x:f>
      </x:c>
      <x:c r="F45" s="176">
        <x:f>F46+F50+F54</x:f>
      </x:c>
      <x:c r="G45" s="176">
        <x:f>G46+G50+G54</x:f>
      </x:c>
      <x:c r="H45" s="187"/>
    </x:row>
    <x:row r="46" spans="1:51">
      <x:c r="A46" s="61" t="s">
        <x:v>32</x:v>
      </x:c>
      <x:c r="B46" s="14" t="s">
        <x:v>110</x:v>
      </x:c>
      <x:c r="C46" s="190" t="s">
        <x:v>111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51" customHeight="1">
      <x:c r="A47" s="48"/>
      <x:c r="B47" s="13" t="s">
        <x:v>112</x:v>
      </x:c>
      <x:c r="C47" s="179" t="s">
        <x:v>113</x:v>
      </x:c>
      <x:c r="D47" s="180"/>
      <x:c r="E47" s="180"/>
      <x:c r="F47" s="180"/>
      <x:c r="G47" s="180"/>
      <x:c r="H47" s="183" t="s">
        <x:v>22</x:v>
      </x:c>
    </x:row>
    <x:row r="48" spans="1:51" ht="51" customHeight="1">
      <x:c r="A48" s="48"/>
      <x:c r="B48" s="13" t="s">
        <x:v>114</x:v>
      </x:c>
      <x:c r="C48" s="179" t="s">
        <x:v>115</x:v>
      </x:c>
      <x:c r="D48" s="180"/>
      <x:c r="E48" s="180"/>
      <x:c r="F48" s="180"/>
      <x:c r="G48" s="180"/>
      <x:c r="H48" s="183" t="s">
        <x:v>51</x:v>
      </x:c>
    </x:row>
    <x:row r="49" spans="1:51" ht="25.5" customHeight="1">
      <x:c r="A49" s="48"/>
      <x:c r="B49" s="13" t="s">
        <x:v>116</x:v>
      </x:c>
      <x:c r="C49" s="179" t="s">
        <x:v>117</x:v>
      </x:c>
      <x:c r="D49" s="180"/>
      <x:c r="E49" s="180"/>
      <x:c r="F49" s="180"/>
      <x:c r="G49" s="180"/>
      <x:c r="H49" s="183" t="s">
        <x:v>28</x:v>
      </x:c>
    </x:row>
    <x:row r="50" spans="1:51" ht="12" customHeight="1">
      <x:c r="A50" s="61" t="s">
        <x:v>41</x:v>
      </x:c>
      <x:c r="B50" s="14" t="s">
        <x:v>118</x:v>
      </x:c>
      <x:c r="C50" s="62" t="s">
        <x:v>119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83"/>
    </x:row>
    <x:row r="51" spans="1:51" ht="51" customHeight="1">
      <x:c r="A51" s="48"/>
      <x:c r="B51" s="26" t="s">
        <x:v>120</x:v>
      </x:c>
      <x:c r="C51" s="179" t="s">
        <x:v>121</x:v>
      </x:c>
      <x:c r="D51" s="180"/>
      <x:c r="E51" s="180"/>
      <x:c r="F51" s="180"/>
      <x:c r="G51" s="180"/>
      <x:c r="H51" s="183" t="s">
        <x:v>22</x:v>
      </x:c>
    </x:row>
    <x:row r="52" spans="1:51" ht="51" customHeight="1">
      <x:c r="A52" s="48"/>
      <x:c r="B52" s="26" t="s">
        <x:v>122</x:v>
      </x:c>
      <x:c r="C52" s="179" t="s">
        <x:v>123</x:v>
      </x:c>
      <x:c r="D52" s="180"/>
      <x:c r="E52" s="180"/>
      <x:c r="F52" s="180"/>
      <x:c r="G52" s="180"/>
      <x:c r="H52" s="183" t="s">
        <x:v>51</x:v>
      </x:c>
    </x:row>
    <x:row r="53" spans="1:51" ht="25.5" customHeight="1">
      <x:c r="A53" s="48"/>
      <x:c r="B53" s="26" t="s">
        <x:v>124</x:v>
      </x:c>
      <x:c r="C53" s="179" t="s">
        <x:v>125</x:v>
      </x:c>
      <x:c r="D53" s="180"/>
      <x:c r="E53" s="180"/>
      <x:c r="F53" s="180"/>
      <x:c r="G53" s="180"/>
      <x:c r="H53" s="183" t="s">
        <x:v>28</x:v>
      </x:c>
    </x:row>
    <x:row r="54" spans="1:51">
      <x:c r="A54" s="61" t="s">
        <x:v>59</x:v>
      </x:c>
      <x:c r="B54" s="14" t="s">
        <x:v>126</x:v>
      </x:c>
      <x:c r="C54" s="62" t="s">
        <x:v>127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83"/>
    </x:row>
    <x:row r="55" spans="1:51" ht="51" customHeight="1">
      <x:c r="A55" s="48"/>
      <x:c r="B55" s="195" t="s">
        <x:v>128</x:v>
      </x:c>
      <x:c r="C55" s="179" t="s">
        <x:v>129</x:v>
      </x:c>
      <x:c r="D55" s="180"/>
      <x:c r="E55" s="180"/>
      <x:c r="F55" s="180"/>
      <x:c r="G55" s="180"/>
      <x:c r="H55" s="183" t="s">
        <x:v>22</x:v>
      </x:c>
    </x:row>
    <x:row r="56" spans="1:51" ht="51" customHeight="1">
      <x:c r="A56" s="48"/>
      <x:c r="B56" s="195" t="s">
        <x:v>130</x:v>
      </x:c>
      <x:c r="C56" s="179" t="s">
        <x:v>131</x:v>
      </x:c>
      <x:c r="D56" s="180"/>
      <x:c r="E56" s="180"/>
      <x:c r="F56" s="180"/>
      <x:c r="G56" s="180"/>
      <x:c r="H56" s="183" t="s">
        <x:v>51</x:v>
      </x:c>
    </x:row>
    <x:row r="57" spans="1:51" ht="25.5" customHeight="1">
      <x:c r="A57" s="48"/>
      <x:c r="B57" s="178" t="s">
        <x:v>132</x:v>
      </x:c>
      <x:c r="C57" s="179" t="s">
        <x:v>133</x:v>
      </x:c>
      <x:c r="D57" s="180"/>
      <x:c r="E57" s="180"/>
      <x:c r="F57" s="180"/>
      <x:c r="G57" s="180"/>
      <x:c r="H57" s="183" t="s">
        <x:v>28</x:v>
      </x:c>
    </x:row>
    <x:row r="58" spans="1:51" s="163" customFormat="1">
      <x:c r="A58" s="173" t="s">
        <x:v>134</x:v>
      </x:c>
      <x:c r="B58" s="174" t="s">
        <x:v>135</x:v>
      </x:c>
      <x:c r="C58" s="175" t="s">
        <x:v>136</x:v>
      </x:c>
      <x:c r="D58" s="176">
        <x:f>D59+D63+D67+D71+D75+D81+D85+D113+D126+D130+D134+D135+D139+D140+D144+D148</x:f>
      </x:c>
      <x:c r="E58" s="176">
        <x:f>E59+E63+E67+E71+E75+E81+E85+E113+E126+E130+E134+E135+E139+E140+E144+E148</x:f>
      </x:c>
      <x:c r="F58" s="176">
        <x:f>F59+F63+F67+F71+F75+F81+F85+F113+F126+F130+F134+F135+F139+F140+F144+F148</x:f>
      </x:c>
      <x:c r="G58" s="176">
        <x:f>G59+G63+G67+G71+G75+G81+G85+G113+G126+G130+G134+G135+G139+G140+G144+G148</x:f>
      </x:c>
      <x:c r="H58" s="187"/>
    </x:row>
    <x:row r="59" spans="1:51" s="163" customFormat="1" ht="22.5" customHeight="1">
      <x:c r="A59" s="188" t="s">
        <x:v>32</x:v>
      </x:c>
      <x:c r="B59" s="189" t="s">
        <x:v>137</x:v>
      </x:c>
      <x:c r="C59" s="190" t="s">
        <x:v>138</x:v>
      </x:c>
      <x:c r="D59" s="197"/>
      <x:c r="E59" s="197"/>
      <x:c r="F59" s="197"/>
      <x:c r="G59" s="197"/>
      <x:c r="H59" s="183"/>
    </x:row>
    <x:row r="60" spans="1:51" s="163" customFormat="1" ht="51" customHeight="1">
      <x:c r="A60" s="192"/>
      <x:c r="B60" s="178" t="s">
        <x:v>139</x:v>
      </x:c>
      <x:c r="C60" s="179" t="s">
        <x:v>140</x:v>
      </x:c>
      <x:c r="D60" s="194">
        <x:f>D59/D202*D203</x:f>
      </x:c>
      <x:c r="E60" s="194">
        <x:f>E59/E202*E203</x:f>
      </x:c>
      <x:c r="F60" s="194">
        <x:f>F59/F202*F203</x:f>
      </x:c>
      <x:c r="G60" s="194">
        <x:f>G59/G202*G203</x:f>
      </x:c>
      <x:c r="H60" s="183" t="s">
        <x:v>141</x:v>
      </x:c>
    </x:row>
    <x:row r="61" spans="1:51" s="163" customFormat="1" ht="38.25" customHeight="1">
      <x:c r="A61" s="192"/>
      <x:c r="B61" s="178" t="s">
        <x:v>142</x:v>
      </x:c>
      <x:c r="C61" s="179" t="s">
        <x:v>143</x:v>
      </x:c>
      <x:c r="D61" s="194">
        <x:f>D59/D202*D204</x:f>
      </x:c>
      <x:c r="E61" s="194">
        <x:f>E59/E202*E204</x:f>
      </x:c>
      <x:c r="F61" s="194">
        <x:f>F59/F202*F204</x:f>
      </x:c>
      <x:c r="G61" s="194">
        <x:f>G59/G202*G204</x:f>
      </x:c>
      <x:c r="H61" s="183" t="s">
        <x:v>144</x:v>
      </x:c>
    </x:row>
    <x:row r="62" spans="1:51" s="163" customFormat="1" ht="26.25" customHeight="1">
      <x:c r="A62" s="192"/>
      <x:c r="B62" s="178" t="s">
        <x:v>145</x:v>
      </x:c>
      <x:c r="C62" s="193" t="s">
        <x:v>146</x:v>
      </x:c>
      <x:c r="D62" s="194">
        <x:f>D59/D202*D205</x:f>
      </x:c>
      <x:c r="E62" s="194">
        <x:f>E59/E202*E205</x:f>
      </x:c>
      <x:c r="F62" s="194">
        <x:f>F59/F202*F205</x:f>
      </x:c>
      <x:c r="G62" s="194">
        <x:f>G59/G202*G205</x:f>
      </x:c>
      <x:c r="H62" s="183" t="s">
        <x:v>147</x:v>
      </x:c>
    </x:row>
    <x:row r="63" spans="1:51" s="163" customFormat="1" ht="23.1" customHeight="1">
      <x:c r="A63" s="188" t="s">
        <x:v>41</x:v>
      </x:c>
      <x:c r="B63" s="189" t="s">
        <x:v>148</x:v>
      </x:c>
      <x:c r="C63" s="190" t="s">
        <x:v>149</x:v>
      </x:c>
      <x:c r="D63" s="197"/>
      <x:c r="E63" s="197"/>
      <x:c r="F63" s="197"/>
      <x:c r="G63" s="197"/>
      <x:c r="H63" s="183"/>
    </x:row>
    <x:row r="64" spans="1:51" s="163" customFormat="1" ht="51" customHeight="1">
      <x:c r="A64" s="192"/>
      <x:c r="B64" s="178" t="s">
        <x:v>139</x:v>
      </x:c>
      <x:c r="C64" s="193" t="s">
        <x:v>150</x:v>
      </x:c>
      <x:c r="D64" s="194">
        <x:f>D63/D202*D203</x:f>
      </x:c>
      <x:c r="E64" s="194">
        <x:f>E63/E202*E203</x:f>
      </x:c>
      <x:c r="F64" s="194">
        <x:f>F63/F202*F203</x:f>
      </x:c>
      <x:c r="G64" s="194">
        <x:f>G63/G202*G203</x:f>
      </x:c>
      <x:c r="H64" s="183" t="s">
        <x:v>141</x:v>
      </x:c>
    </x:row>
    <x:row r="65" spans="1:51" s="163" customFormat="1" ht="38.25" customHeight="1">
      <x:c r="A65" s="192"/>
      <x:c r="B65" s="178" t="s">
        <x:v>142</x:v>
      </x:c>
      <x:c r="C65" s="193" t="s">
        <x:v>151</x:v>
      </x:c>
      <x:c r="D65" s="194">
        <x:f>D63/D202*D204</x:f>
      </x:c>
      <x:c r="E65" s="194">
        <x:f>E63/E202*E204</x:f>
      </x:c>
      <x:c r="F65" s="194">
        <x:f>F63/F202*F204</x:f>
      </x:c>
      <x:c r="G65" s="194">
        <x:f>G63/G202*G204</x:f>
      </x:c>
      <x:c r="H65" s="183" t="s">
        <x:v>144</x:v>
      </x:c>
    </x:row>
    <x:row r="66" spans="1:51" s="163" customFormat="1" ht="25.5" customHeight="1">
      <x:c r="A66" s="192"/>
      <x:c r="B66" s="178" t="s">
        <x:v>152</x:v>
      </x:c>
      <x:c r="C66" s="193" t="s">
        <x:v>153</x:v>
      </x:c>
      <x:c r="D66" s="194">
        <x:f>D63/D202*D205</x:f>
      </x:c>
      <x:c r="E66" s="194">
        <x:f>E63/E202*E205</x:f>
      </x:c>
      <x:c r="F66" s="194">
        <x:f>F63/F202*F205</x:f>
      </x:c>
      <x:c r="G66" s="194">
        <x:f>G63/G202*G205</x:f>
      </x:c>
      <x:c r="H66" s="181" t="s">
        <x:v>147</x:v>
      </x:c>
    </x:row>
    <x:row r="67" spans="1:51" s="163" customFormat="1" ht="20.25" customHeight="1">
      <x:c r="A67" s="188" t="s">
        <x:v>59</x:v>
      </x:c>
      <x:c r="B67" s="189" t="s">
        <x:v>154</x:v>
      </x:c>
      <x:c r="C67" s="190" t="s">
        <x:v>155</x:v>
      </x:c>
      <x:c r="D67" s="197"/>
      <x:c r="E67" s="197"/>
      <x:c r="F67" s="197"/>
      <x:c r="G67" s="197"/>
      <x:c r="H67" s="183"/>
    </x:row>
    <x:row r="68" spans="1:51" s="163" customFormat="1" ht="51" customHeight="1">
      <x:c r="A68" s="192"/>
      <x:c r="B68" s="178" t="s">
        <x:v>139</x:v>
      </x:c>
      <x:c r="C68" s="193" t="s">
        <x:v>156</x:v>
      </x:c>
      <x:c r="D68" s="194">
        <x:f>D67/D202*D203</x:f>
      </x:c>
      <x:c r="E68" s="194">
        <x:f>E67/E202*E203</x:f>
      </x:c>
      <x:c r="F68" s="194">
        <x:f>F67/F202*F203</x:f>
      </x:c>
      <x:c r="G68" s="194">
        <x:f>G67/G202*G203</x:f>
      </x:c>
      <x:c r="H68" s="183" t="s">
        <x:v>141</x:v>
      </x:c>
    </x:row>
    <x:row r="69" spans="1:51" s="163" customFormat="1" ht="38.25" customHeight="1">
      <x:c r="A69" s="192"/>
      <x:c r="B69" s="178" t="s">
        <x:v>142</x:v>
      </x:c>
      <x:c r="C69" s="193" t="s">
        <x:v>157</x:v>
      </x:c>
      <x:c r="D69" s="194">
        <x:f>D67/D202*D204</x:f>
      </x:c>
      <x:c r="E69" s="194">
        <x:f>E67/E202*E204</x:f>
      </x:c>
      <x:c r="F69" s="194">
        <x:f>F67/F202*F204</x:f>
      </x:c>
      <x:c r="G69" s="194">
        <x:f>G67/G202*G204</x:f>
      </x:c>
      <x:c r="H69" s="183" t="s">
        <x:v>144</x:v>
      </x:c>
    </x:row>
    <x:row r="70" spans="1:51" s="163" customFormat="1" ht="24.75" customHeight="1">
      <x:c r="A70" s="192"/>
      <x:c r="B70" s="178" t="s">
        <x:v>158</x:v>
      </x:c>
      <x:c r="C70" s="193" t="s">
        <x:v>159</x:v>
      </x:c>
      <x:c r="D70" s="194">
        <x:f>D67/D202*D205</x:f>
      </x:c>
      <x:c r="E70" s="194">
        <x:f>E67/E202*E205</x:f>
      </x:c>
      <x:c r="F70" s="194">
        <x:f>F67/F202*F205</x:f>
      </x:c>
      <x:c r="G70" s="194">
        <x:f>G67/G202*G205</x:f>
      </x:c>
      <x:c r="H70" s="181" t="s">
        <x:v>147</x:v>
      </x:c>
    </x:row>
    <x:row r="71" spans="1:51" s="163" customFormat="1">
      <x:c r="A71" s="188" t="s">
        <x:v>89</x:v>
      </x:c>
      <x:c r="B71" s="189" t="s">
        <x:v>160</x:v>
      </x:c>
      <x:c r="C71" s="190" t="s">
        <x:v>161</x:v>
      </x:c>
      <x:c r="D71" s="197"/>
      <x:c r="E71" s="197"/>
      <x:c r="F71" s="197"/>
      <x:c r="G71" s="197"/>
      <x:c r="H71" s="183"/>
    </x:row>
    <x:row r="72" spans="1:51" s="163" customFormat="1" ht="51" customHeight="1">
      <x:c r="A72" s="192"/>
      <x:c r="B72" s="178" t="s">
        <x:v>139</x:v>
      </x:c>
      <x:c r="C72" s="193" t="s">
        <x:v>162</x:v>
      </x:c>
      <x:c r="D72" s="194">
        <x:f>D71/D202*D203</x:f>
      </x:c>
      <x:c r="E72" s="194">
        <x:f>E71/E202*E203</x:f>
      </x:c>
      <x:c r="F72" s="194">
        <x:f>F71/F202*F203</x:f>
      </x:c>
      <x:c r="G72" s="194">
        <x:f>G71/G202*G203</x:f>
      </x:c>
      <x:c r="H72" s="183" t="s">
        <x:v>141</x:v>
      </x:c>
    </x:row>
    <x:row r="73" spans="1:51" s="163" customFormat="1" ht="38.25" customHeight="1">
      <x:c r="A73" s="192"/>
      <x:c r="B73" s="178" t="s">
        <x:v>142</x:v>
      </x:c>
      <x:c r="C73" s="193" t="s">
        <x:v>163</x:v>
      </x:c>
      <x:c r="D73" s="194">
        <x:f>D71/D202*D204</x:f>
      </x:c>
      <x:c r="E73" s="194">
        <x:f>E71/E202*E204</x:f>
      </x:c>
      <x:c r="F73" s="194">
        <x:f>F71/F202*F204</x:f>
      </x:c>
      <x:c r="G73" s="194">
        <x:f>G71/G202*G204</x:f>
      </x:c>
      <x:c r="H73" s="183" t="s">
        <x:v>144</x:v>
      </x:c>
    </x:row>
    <x:row r="74" spans="1:51" s="163" customFormat="1" ht="27" customHeight="1">
      <x:c r="A74" s="192"/>
      <x:c r="B74" s="178" t="s">
        <x:v>145</x:v>
      </x:c>
      <x:c r="C74" s="193" t="s">
        <x:v>164</x:v>
      </x:c>
      <x:c r="D74" s="194">
        <x:f>D71/D202*D205</x:f>
      </x:c>
      <x:c r="E74" s="194">
        <x:f>E71/E202*E205</x:f>
      </x:c>
      <x:c r="F74" s="194">
        <x:f>F71/F202*F205</x:f>
      </x:c>
      <x:c r="G74" s="194">
        <x:f>G71/G202*G205</x:f>
      </x:c>
      <x:c r="H74" s="181" t="s">
        <x:v>147</x:v>
      </x:c>
    </x:row>
    <x:row r="75" spans="1:51" s="163" customFormat="1">
      <x:c r="A75" s="188" t="s">
        <x:v>98</x:v>
      </x:c>
      <x:c r="B75" s="189" t="s">
        <x:v>165</x:v>
      </x:c>
      <x:c r="C75" s="190" t="s">
        <x:v>166</x:v>
      </x:c>
      <x:c r="D75" s="191">
        <x:f>D76+D77</x:f>
      </x:c>
      <x:c r="E75" s="191">
        <x:f>E76+E77</x:f>
      </x:c>
      <x:c r="F75" s="191">
        <x:f>F76+F77</x:f>
      </x:c>
      <x:c r="G75" s="191">
        <x:f>G76+G77</x:f>
      </x:c>
      <x:c r="H75" s="183"/>
    </x:row>
    <x:row r="76" spans="1:51" s="163" customFormat="1">
      <x:c r="A76" s="198"/>
      <x:c r="B76" s="199" t="s">
        <x:v>167</x:v>
      </x:c>
      <x:c r="C76" s="200" t="s">
        <x:v>168</x:v>
      </x:c>
      <x:c r="D76" s="201"/>
      <x:c r="E76" s="201"/>
      <x:c r="F76" s="201"/>
      <x:c r="G76" s="201"/>
      <x:c r="H76" s="202" t="s">
        <x:v>169</x:v>
      </x:c>
    </x:row>
    <x:row r="77" spans="1:51" s="163" customFormat="1">
      <x:c r="A77" s="192"/>
      <x:c r="B77" s="178" t="s">
        <x:v>170</x:v>
      </x:c>
      <x:c r="C77" s="193"/>
      <x:c r="D77" s="180"/>
      <x:c r="E77" s="180"/>
      <x:c r="F77" s="180"/>
      <x:c r="G77" s="180"/>
      <x:c r="H77" s="181"/>
    </x:row>
    <x:row r="78" spans="1:51" s="163" customFormat="1" ht="51" customHeight="1">
      <x:c r="A78" s="192"/>
      <x:c r="B78" s="178" t="s">
        <x:v>139</x:v>
      </x:c>
      <x:c r="C78" s="193" t="s">
        <x:v>171</x:v>
      </x:c>
      <x:c r="D78" s="194">
        <x:f>D77/D202*D203</x:f>
      </x:c>
      <x:c r="E78" s="194">
        <x:f>E77/E202*E203</x:f>
      </x:c>
      <x:c r="F78" s="194">
        <x:f>F77/F202*F203</x:f>
      </x:c>
      <x:c r="G78" s="194">
        <x:f>G77/G202*G203</x:f>
      </x:c>
      <x:c r="H78" s="181" t="s">
        <x:v>141</x:v>
      </x:c>
    </x:row>
    <x:row r="79" spans="1:51" s="163" customFormat="1" ht="38.25" customHeight="1">
      <x:c r="A79" s="192"/>
      <x:c r="B79" s="178" t="s">
        <x:v>142</x:v>
      </x:c>
      <x:c r="C79" s="193" t="s">
        <x:v>172</x:v>
      </x:c>
      <x:c r="D79" s="194">
        <x:f>D77/D202*D204</x:f>
      </x:c>
      <x:c r="E79" s="194">
        <x:f>E77/E202*E204</x:f>
      </x:c>
      <x:c r="F79" s="194">
        <x:f>F77/F202*F204</x:f>
      </x:c>
      <x:c r="G79" s="194">
        <x:f>G77/G202*G204</x:f>
      </x:c>
      <x:c r="H79" s="183" t="s">
        <x:v>144</x:v>
      </x:c>
    </x:row>
    <x:row r="80" spans="1:51" s="163" customFormat="1" ht="28.5" customHeight="1">
      <x:c r="A80" s="192"/>
      <x:c r="B80" s="178" t="s">
        <x:v>173</x:v>
      </x:c>
      <x:c r="C80" s="193" t="s">
        <x:v>174</x:v>
      </x:c>
      <x:c r="D80" s="194">
        <x:f>D77/D202*D205</x:f>
      </x:c>
      <x:c r="E80" s="194">
        <x:f>E77/E202*E205</x:f>
      </x:c>
      <x:c r="F80" s="194">
        <x:f>F77/F202*F205</x:f>
      </x:c>
      <x:c r="G80" s="194">
        <x:f>G77/G202*G205</x:f>
      </x:c>
      <x:c r="H80" s="181" t="s">
        <x:v>147</x:v>
      </x:c>
    </x:row>
    <x:row r="81" spans="1:51" s="163" customFormat="1">
      <x:c r="A81" s="188" t="s">
        <x:v>175</x:v>
      </x:c>
      <x:c r="B81" s="189" t="s">
        <x:v>176</x:v>
      </x:c>
      <x:c r="C81" s="203" t="s">
        <x:v>177</x:v>
      </x:c>
      <x:c r="D81" s="197"/>
      <x:c r="E81" s="197"/>
      <x:c r="F81" s="197"/>
      <x:c r="G81" s="197"/>
      <x:c r="H81" s="183"/>
    </x:row>
    <x:row r="82" spans="1:51" s="163" customFormat="1" ht="51" customHeight="1">
      <x:c r="A82" s="192"/>
      <x:c r="B82" s="178" t="s">
        <x:v>139</x:v>
      </x:c>
      <x:c r="C82" s="179" t="s">
        <x:v>178</x:v>
      </x:c>
      <x:c r="D82" s="194">
        <x:f>D81/D202*D203</x:f>
      </x:c>
      <x:c r="E82" s="194">
        <x:f>E81/E202*E203</x:f>
      </x:c>
      <x:c r="F82" s="194">
        <x:f>F81/F202*F203</x:f>
      </x:c>
      <x:c r="G82" s="194">
        <x:f>G81/G202*G203</x:f>
      </x:c>
      <x:c r="H82" s="183" t="s">
        <x:v>141</x:v>
      </x:c>
    </x:row>
    <x:row r="83" spans="1:51" s="163" customFormat="1" ht="38.25" customHeight="1">
      <x:c r="A83" s="192"/>
      <x:c r="B83" s="178" t="s">
        <x:v>142</x:v>
      </x:c>
      <x:c r="C83" s="179" t="s">
        <x:v>179</x:v>
      </x:c>
      <x:c r="D83" s="194">
        <x:f>D81/D202*D204</x:f>
      </x:c>
      <x:c r="E83" s="194">
        <x:f>E81/E202*E204</x:f>
      </x:c>
      <x:c r="F83" s="194">
        <x:f>F81/F202*F204</x:f>
      </x:c>
      <x:c r="G83" s="194">
        <x:f>G81/G202*G204</x:f>
      </x:c>
      <x:c r="H83" s="183" t="s">
        <x:v>144</x:v>
      </x:c>
    </x:row>
    <x:row r="84" spans="1:51" s="163" customFormat="1" ht="25.5" customHeight="1">
      <x:c r="A84" s="192"/>
      <x:c r="B84" s="178" t="s">
        <x:v>145</x:v>
      </x:c>
      <x:c r="C84" s="179" t="s">
        <x:v>180</x:v>
      </x:c>
      <x:c r="D84" s="194">
        <x:f>D81/D202*D205</x:f>
      </x:c>
      <x:c r="E84" s="194">
        <x:f>E81/E202*E205</x:f>
      </x:c>
      <x:c r="F84" s="194">
        <x:f>F81/F202*F205</x:f>
      </x:c>
      <x:c r="G84" s="194">
        <x:f>G81/G202*G205</x:f>
      </x:c>
      <x:c r="H84" s="181" t="s">
        <x:v>147</x:v>
      </x:c>
    </x:row>
    <x:row r="85" spans="1:51" s="163" customFormat="1">
      <x:c r="A85" s="188" t="s">
        <x:v>181</x:v>
      </x:c>
      <x:c r="B85" s="189" t="s">
        <x:v>182</x:v>
      </x:c>
      <x:c r="C85" s="190" t="s">
        <x:v>183</x:v>
      </x:c>
      <x:c r="D85" s="191">
        <x:f>D86+D90+D96+D100+D101+D102+D103+D104+D105+D109</x:f>
      </x:c>
      <x:c r="E85" s="191">
        <x:f>E86+E90+E96+E100+E101+E102+E103+E104+E105+E109</x:f>
      </x:c>
      <x:c r="F85" s="191">
        <x:f>F86+F90+F96+F100+F101+F102+F103+F104+F105+F109</x:f>
      </x:c>
      <x:c r="G85" s="191">
        <x:f>G86+G90+G96+G100+G101+G102+G103+G104+G105+G109</x:f>
      </x:c>
      <x:c r="H85" s="183"/>
    </x:row>
    <x:row r="86" spans="1:51" s="163" customFormat="1">
      <x:c r="A86" s="188" t="s">
        <x:v>184</x:v>
      </x:c>
      <x:c r="B86" s="178" t="s">
        <x:v>185</x:v>
      </x:c>
      <x:c r="C86" s="193" t="s">
        <x:v>186</x:v>
      </x:c>
      <x:c r="D86" s="180"/>
      <x:c r="E86" s="180"/>
      <x:c r="F86" s="180"/>
      <x:c r="G86" s="180"/>
      <x:c r="H86" s="183"/>
    </x:row>
    <x:row r="87" spans="1:51" s="163" customFormat="1" ht="51" customHeight="1">
      <x:c r="A87" s="192"/>
      <x:c r="B87" s="178" t="s">
        <x:v>139</x:v>
      </x:c>
      <x:c r="C87" s="193" t="s">
        <x:v>187</x:v>
      </x:c>
      <x:c r="D87" s="194">
        <x:f>D86/D202*D203</x:f>
      </x:c>
      <x:c r="E87" s="194">
        <x:f>E86/E202*E203</x:f>
      </x:c>
      <x:c r="F87" s="194">
        <x:f>F86/F202*F203</x:f>
      </x:c>
      <x:c r="G87" s="194">
        <x:f>G86/G202*G203</x:f>
      </x:c>
      <x:c r="H87" s="183" t="s">
        <x:v>141</x:v>
      </x:c>
    </x:row>
    <x:row r="88" spans="1:51" s="163" customFormat="1" ht="38.25" customHeight="1">
      <x:c r="A88" s="192"/>
      <x:c r="B88" s="178" t="s">
        <x:v>142</x:v>
      </x:c>
      <x:c r="C88" s="193" t="s">
        <x:v>188</x:v>
      </x:c>
      <x:c r="D88" s="194">
        <x:f>D86/D202*D204</x:f>
      </x:c>
      <x:c r="E88" s="194">
        <x:f>E86/E202*E204</x:f>
      </x:c>
      <x:c r="F88" s="194">
        <x:f>F86/F202*F204</x:f>
      </x:c>
      <x:c r="G88" s="194">
        <x:f>G86/G202*G204</x:f>
      </x:c>
      <x:c r="H88" s="183" t="s">
        <x:v>144</x:v>
      </x:c>
    </x:row>
    <x:row r="89" spans="1:51" s="163" customFormat="1" ht="25.5" customHeight="1">
      <x:c r="A89" s="192"/>
      <x:c r="B89" s="178" t="s">
        <x:v>145</x:v>
      </x:c>
      <x:c r="C89" s="193">
        <x:v>1020013</x:v>
      </x:c>
      <x:c r="D89" s="194">
        <x:f>D86/D202*D205</x:f>
      </x:c>
      <x:c r="E89" s="194">
        <x:f>E86/E202*E205</x:f>
      </x:c>
      <x:c r="F89" s="194">
        <x:f>F86/F202*F205</x:f>
      </x:c>
      <x:c r="G89" s="194">
        <x:f>G86/G202*G205</x:f>
      </x:c>
      <x:c r="H89" s="181" t="s">
        <x:v>147</x:v>
      </x:c>
    </x:row>
    <x:row r="90" spans="1:51" s="163" customFormat="1">
      <x:c r="A90" s="188" t="s">
        <x:v>189</x:v>
      </x:c>
      <x:c r="B90" s="178" t="s">
        <x:v>190</x:v>
      </x:c>
      <x:c r="C90" s="193" t="s">
        <x:v>191</x:v>
      </x:c>
      <x:c r="D90" s="194">
        <x:f>D91+D92</x:f>
      </x:c>
      <x:c r="E90" s="194">
        <x:f>E91+E92</x:f>
      </x:c>
      <x:c r="F90" s="194">
        <x:f>F91+F92</x:f>
      </x:c>
      <x:c r="G90" s="194">
        <x:f>G91+G92</x:f>
      </x:c>
      <x:c r="H90" s="183"/>
    </x:row>
    <x:row r="91" spans="1:51" s="163" customFormat="1">
      <x:c r="A91" s="198"/>
      <x:c r="B91" s="199" t="s">
        <x:v>192</x:v>
      </x:c>
      <x:c r="C91" s="200">
        <x:v>1020021</x:v>
      </x:c>
      <x:c r="D91" s="201"/>
      <x:c r="E91" s="201"/>
      <x:c r="F91" s="201"/>
      <x:c r="G91" s="201"/>
      <x:c r="H91" s="202" t="s">
        <x:v>169</x:v>
      </x:c>
    </x:row>
    <x:row r="92" spans="1:51" s="163" customFormat="1">
      <x:c r="A92" s="192"/>
      <x:c r="B92" s="178" t="s">
        <x:v>193</x:v>
      </x:c>
      <x:c r="C92" s="193"/>
      <x:c r="D92" s="180"/>
      <x:c r="E92" s="180"/>
      <x:c r="F92" s="180"/>
      <x:c r="G92" s="180"/>
      <x:c r="H92" s="181"/>
    </x:row>
    <x:row r="93" spans="1:51" s="163" customFormat="1" ht="51" customHeight="1">
      <x:c r="A93" s="192"/>
      <x:c r="B93" s="178" t="s">
        <x:v>139</x:v>
      </x:c>
      <x:c r="C93" s="193" t="s">
        <x:v>194</x:v>
      </x:c>
      <x:c r="D93" s="194">
        <x:f>D92/D202*D203</x:f>
      </x:c>
      <x:c r="E93" s="194">
        <x:f>E92/E202*E203</x:f>
      </x:c>
      <x:c r="F93" s="194">
        <x:f>F92/F202*F203</x:f>
      </x:c>
      <x:c r="G93" s="194">
        <x:f>G92/G202*G203</x:f>
      </x:c>
      <x:c r="H93" s="183" t="s">
        <x:v>141</x:v>
      </x:c>
    </x:row>
    <x:row r="94" spans="1:51" s="163" customFormat="1" ht="38.25" customHeight="1">
      <x:c r="A94" s="192"/>
      <x:c r="B94" s="178" t="s">
        <x:v>142</x:v>
      </x:c>
      <x:c r="C94" s="193" t="s">
        <x:v>195</x:v>
      </x:c>
      <x:c r="D94" s="194">
        <x:f>D92/D202*D204</x:f>
      </x:c>
      <x:c r="E94" s="194">
        <x:f>E92/E202*E204</x:f>
      </x:c>
      <x:c r="F94" s="194">
        <x:f>F92/F202*F204</x:f>
      </x:c>
      <x:c r="G94" s="194">
        <x:f>G92/G202*G204</x:f>
      </x:c>
      <x:c r="H94" s="183" t="s">
        <x:v>144</x:v>
      </x:c>
    </x:row>
    <x:row r="95" spans="1:51" s="163" customFormat="1" ht="25.5" customHeight="1">
      <x:c r="A95" s="192"/>
      <x:c r="B95" s="178" t="s">
        <x:v>145</x:v>
      </x:c>
      <x:c r="C95" s="193">
        <x:v>1020023</x:v>
      </x:c>
      <x:c r="D95" s="194">
        <x:f>D92/D202*D205</x:f>
      </x:c>
      <x:c r="E95" s="194">
        <x:f>E92/E202*E205</x:f>
      </x:c>
      <x:c r="F95" s="194">
        <x:f>F92/F202*F205</x:f>
      </x:c>
      <x:c r="G95" s="194">
        <x:f>G92/G202*G205</x:f>
      </x:c>
      <x:c r="H95" s="181" t="s">
        <x:v>147</x:v>
      </x:c>
    </x:row>
    <x:row r="96" spans="1:51" s="163" customFormat="1">
      <x:c r="A96" s="188" t="s">
        <x:v>196</x:v>
      </x:c>
      <x:c r="B96" s="178" t="s">
        <x:v>197</x:v>
      </x:c>
      <x:c r="C96" s="193" t="s">
        <x:v>198</x:v>
      </x:c>
      <x:c r="D96" s="180"/>
      <x:c r="E96" s="180"/>
      <x:c r="F96" s="180"/>
      <x:c r="G96" s="180"/>
      <x:c r="H96" s="183"/>
    </x:row>
    <x:row r="97" spans="1:51" s="163" customFormat="1" ht="51" customHeight="1">
      <x:c r="A97" s="192"/>
      <x:c r="B97" s="178" t="s">
        <x:v>139</x:v>
      </x:c>
      <x:c r="C97" s="193" t="s">
        <x:v>199</x:v>
      </x:c>
      <x:c r="D97" s="194">
        <x:f>D96/D202*D203</x:f>
      </x:c>
      <x:c r="E97" s="194">
        <x:f>E96/E202*E203</x:f>
      </x:c>
      <x:c r="F97" s="194">
        <x:f>F96/F202*F203</x:f>
      </x:c>
      <x:c r="G97" s="194">
        <x:f>G96/G202*G203</x:f>
      </x:c>
      <x:c r="H97" s="183" t="s">
        <x:v>141</x:v>
      </x:c>
    </x:row>
    <x:row r="98" spans="1:51" s="163" customFormat="1" ht="38.25" customHeight="1">
      <x:c r="A98" s="192"/>
      <x:c r="B98" s="178" t="s">
        <x:v>142</x:v>
      </x:c>
      <x:c r="C98" s="193" t="s">
        <x:v>200</x:v>
      </x:c>
      <x:c r="D98" s="194">
        <x:f>D96/D202*D204</x:f>
      </x:c>
      <x:c r="E98" s="194">
        <x:f>E96/E202*E204</x:f>
      </x:c>
      <x:c r="F98" s="194">
        <x:f>F96/F202*F204</x:f>
      </x:c>
      <x:c r="G98" s="194">
        <x:f>G96/G202*G204</x:f>
      </x:c>
      <x:c r="H98" s="183" t="s">
        <x:v>144</x:v>
      </x:c>
    </x:row>
    <x:row r="99" spans="1:51" s="163" customFormat="1" ht="25.5" customHeight="1">
      <x:c r="A99" s="192"/>
      <x:c r="B99" s="178" t="s">
        <x:v>145</x:v>
      </x:c>
      <x:c r="C99" s="193">
        <x:v>1020032</x:v>
      </x:c>
      <x:c r="D99" s="194">
        <x:f>D96/D202*D205</x:f>
      </x:c>
      <x:c r="E99" s="194">
        <x:f>E96/E202*E205</x:f>
      </x:c>
      <x:c r="F99" s="194">
        <x:f>F96/F202*F205</x:f>
      </x:c>
      <x:c r="G99" s="194">
        <x:f>G96/G202*G205</x:f>
      </x:c>
      <x:c r="H99" s="181" t="s">
        <x:v>147</x:v>
      </x:c>
    </x:row>
    <x:row r="100" spans="1:51" s="163" customFormat="1">
      <x:c r="A100" s="204" t="s">
        <x:v>201</x:v>
      </x:c>
      <x:c r="B100" s="199" t="s">
        <x:v>202</x:v>
      </x:c>
      <x:c r="C100" s="200" t="s">
        <x:v>203</x:v>
      </x:c>
      <x:c r="D100" s="201"/>
      <x:c r="E100" s="201"/>
      <x:c r="F100" s="201"/>
      <x:c r="G100" s="201"/>
      <x:c r="H100" s="202" t="s">
        <x:v>169</x:v>
      </x:c>
      <x:c r="I100" s="182"/>
    </x:row>
    <x:row r="101" spans="1:51" s="163" customFormat="1">
      <x:c r="A101" s="204" t="s">
        <x:v>204</x:v>
      </x:c>
      <x:c r="B101" s="199" t="s">
        <x:v>205</x:v>
      </x:c>
      <x:c r="C101" s="200" t="s">
        <x:v>206</x:v>
      </x:c>
      <x:c r="D101" s="201"/>
      <x:c r="E101" s="201"/>
      <x:c r="F101" s="201"/>
      <x:c r="G101" s="201"/>
      <x:c r="H101" s="202" t="s">
        <x:v>169</x:v>
      </x:c>
      <x:c r="I101" s="182"/>
    </x:row>
    <x:row r="102" spans="1:51" s="163" customFormat="1" ht="25.5" customHeight="1">
      <x:c r="A102" s="188" t="s">
        <x:v>207</x:v>
      </x:c>
      <x:c r="B102" s="178" t="s">
        <x:v>208</x:v>
      </x:c>
      <x:c r="C102" s="193" t="s">
        <x:v>209</x:v>
      </x:c>
      <x:c r="D102" s="180"/>
      <x:c r="E102" s="180"/>
      <x:c r="F102" s="180"/>
      <x:c r="G102" s="180"/>
      <x:c r="H102" s="183" t="s">
        <x:v>210</x:v>
      </x:c>
    </x:row>
    <x:row r="103" spans="1:51" s="163" customFormat="1" ht="35.25" customHeight="1">
      <x:c r="A103" s="188" t="s">
        <x:v>211</x:v>
      </x:c>
      <x:c r="B103" s="178" t="s">
        <x:v>212</x:v>
      </x:c>
      <x:c r="C103" s="193" t="s">
        <x:v>213</x:v>
      </x:c>
      <x:c r="D103" s="180"/>
      <x:c r="E103" s="180"/>
      <x:c r="F103" s="180"/>
      <x:c r="G103" s="180"/>
      <x:c r="H103" s="183" t="s">
        <x:v>210</x:v>
      </x:c>
      <x:c r="I103" s="205"/>
    </x:row>
    <x:row r="104" spans="1:51" s="163" customFormat="1" ht="51" customHeight="1">
      <x:c r="A104" s="188" t="s">
        <x:v>214</x:v>
      </x:c>
      <x:c r="B104" s="178" t="s">
        <x:v>215</x:v>
      </x:c>
      <x:c r="C104" s="193" t="s">
        <x:v>216</x:v>
      </x:c>
      <x:c r="D104" s="180"/>
      <x:c r="E104" s="180"/>
      <x:c r="F104" s="180"/>
      <x:c r="G104" s="180"/>
      <x:c r="H104" s="183" t="s">
        <x:v>217</x:v>
      </x:c>
    </x:row>
    <x:row r="105" spans="1:51">
      <x:c r="A105" s="61" t="s">
        <x:v>218</x:v>
      </x:c>
      <x:c r="B105" s="13" t="s">
        <x:v>219</x:v>
      </x:c>
      <x:c r="C105" s="30" t="s">
        <x:v>220</x:v>
      </x:c>
      <x:c r="D105" s="136"/>
      <x:c r="E105" s="136"/>
      <x:c r="F105" s="136"/>
      <x:c r="G105" s="136"/>
      <x:c r="H105" s="76"/>
    </x:row>
    <x:row r="106" spans="1:51" ht="51" customHeight="1">
      <x:c r="A106" s="48"/>
      <x:c r="B106" s="178" t="s">
        <x:v>139</x:v>
      </x:c>
      <x:c r="C106" s="30" t="s">
        <x:v>221</x:v>
      </x:c>
      <x:c r="D106" s="91">
        <x:f>D105/D202*D203</x:f>
      </x:c>
      <x:c r="E106" s="91">
        <x:f>E105/E202*E203</x:f>
      </x:c>
      <x:c r="F106" s="91">
        <x:f>F105/F202*F203</x:f>
      </x:c>
      <x:c r="G106" s="91">
        <x:f>G105/G202*G203</x:f>
      </x:c>
      <x:c r="H106" s="183" t="s">
        <x:v>141</x:v>
      </x:c>
    </x:row>
    <x:row r="107" spans="1:51" ht="38.25" customHeight="1">
      <x:c r="A107" s="48"/>
      <x:c r="B107" s="178" t="s">
        <x:v>142</x:v>
      </x:c>
      <x:c r="C107" s="30" t="s">
        <x:v>222</x:v>
      </x:c>
      <x:c r="D107" s="91">
        <x:f>D105/D202*D204</x:f>
      </x:c>
      <x:c r="E107" s="91">
        <x:f>E105/E202*E204</x:f>
      </x:c>
      <x:c r="F107" s="91">
        <x:f>F105/F202*F204</x:f>
      </x:c>
      <x:c r="G107" s="91">
        <x:f>G105/G202*G204</x:f>
      </x:c>
      <x:c r="H107" s="183" t="s">
        <x:v>144</x:v>
      </x:c>
    </x:row>
    <x:row r="108" spans="1:51" ht="25.5" customHeight="1">
      <x:c r="A108" s="48"/>
      <x:c r="B108" s="13" t="s">
        <x:v>145</x:v>
      </x:c>
      <x:c r="C108" s="30">
        <x:v>1020092</x:v>
      </x:c>
      <x:c r="D108" s="91">
        <x:f>D105/D202*D205</x:f>
      </x:c>
      <x:c r="E108" s="91">
        <x:f>E105/E202*E205</x:f>
      </x:c>
      <x:c r="F108" s="91">
        <x:f>F105/F202*F205</x:f>
      </x:c>
      <x:c r="G108" s="91">
        <x:f>G105/G202*G205</x:f>
      </x:c>
      <x:c r="H108" s="181" t="s">
        <x:v>147</x:v>
      </x:c>
    </x:row>
    <x:row r="109" spans="1:51" ht="25.5" customHeight="1">
      <x:c r="A109" s="188" t="s">
        <x:v>223</x:v>
      </x:c>
      <x:c r="B109" s="178" t="s">
        <x:v>81</x:v>
      </x:c>
      <x:c r="C109" s="206">
        <x:v>102010</x:v>
      </x:c>
      <x:c r="D109" s="180"/>
      <x:c r="E109" s="180"/>
      <x:c r="F109" s="180"/>
      <x:c r="G109" s="180"/>
      <x:c r="H109" s="183"/>
      <x:c r="I109" s="163"/>
    </x:row>
    <x:row r="110" spans="1:51" ht="51" customHeight="1">
      <x:c r="A110" s="192"/>
      <x:c r="B110" s="178" t="s">
        <x:v>139</x:v>
      </x:c>
      <x:c r="C110" s="206" t="s">
        <x:v>224</x:v>
      </x:c>
      <x:c r="D110" s="194">
        <x:f>D109/D202*D203</x:f>
      </x:c>
      <x:c r="E110" s="194">
        <x:f>E109/E202*E203</x:f>
      </x:c>
      <x:c r="F110" s="194">
        <x:f>F109/F202*F203</x:f>
      </x:c>
      <x:c r="G110" s="194">
        <x:f>G109/G202*G203</x:f>
      </x:c>
      <x:c r="H110" s="183" t="s">
        <x:v>141</x:v>
      </x:c>
      <x:c r="I110" s="163"/>
    </x:row>
    <x:row r="111" spans="1:51" ht="38.25" customHeight="1">
      <x:c r="A111" s="192"/>
      <x:c r="B111" s="178" t="s">
        <x:v>142</x:v>
      </x:c>
      <x:c r="C111" s="206" t="s">
        <x:v>225</x:v>
      </x:c>
      <x:c r="D111" s="194">
        <x:f>D109/D202*D204</x:f>
      </x:c>
      <x:c r="E111" s="194">
        <x:f>E109/E202*E204</x:f>
      </x:c>
      <x:c r="F111" s="194">
        <x:f>F109/F202*F204</x:f>
      </x:c>
      <x:c r="G111" s="194">
        <x:f>G109/G202*G204</x:f>
      </x:c>
      <x:c r="H111" s="183" t="s">
        <x:v>144</x:v>
      </x:c>
      <x:c r="I111" s="163"/>
    </x:row>
    <x:row r="112" spans="1:51" ht="25.5" customHeight="1">
      <x:c r="A112" s="192"/>
      <x:c r="B112" s="13" t="s">
        <x:v>145</x:v>
      </x:c>
      <x:c r="C112" s="206">
        <x:v>1020102</x:v>
      </x:c>
      <x:c r="D112" s="194">
        <x:f>D109/D202*D205</x:f>
      </x:c>
      <x:c r="E112" s="194">
        <x:f>E109/E202*E205</x:f>
      </x:c>
      <x:c r="F112" s="194">
        <x:f>F109/F202*F205</x:f>
      </x:c>
      <x:c r="G112" s="194">
        <x:f>G109/G202*G205</x:f>
      </x:c>
      <x:c r="H112" s="181" t="s">
        <x:v>147</x:v>
      </x:c>
      <x:c r="I112" s="163"/>
    </x:row>
    <x:row r="113" spans="1:51" s="163" customFormat="1">
      <x:c r="A113" s="188" t="s">
        <x:v>226</x:v>
      </x:c>
      <x:c r="B113" s="189" t="s">
        <x:v>227</x:v>
      </x:c>
      <x:c r="C113" s="190" t="s">
        <x:v>228</x:v>
      </x:c>
      <x:c r="D113" s="191">
        <x:f>D114+D118+D122</x:f>
      </x:c>
      <x:c r="E113" s="191">
        <x:f>E114+E118+E122</x:f>
      </x:c>
      <x:c r="F113" s="191">
        <x:f>F114+F118+F122</x:f>
      </x:c>
      <x:c r="G113" s="191">
        <x:f>G114+G118+G122</x:f>
      </x:c>
      <x:c r="H113" s="183"/>
    </x:row>
    <x:row r="114" spans="1:51" s="163" customFormat="1">
      <x:c r="A114" s="188" t="s">
        <x:v>229</x:v>
      </x:c>
      <x:c r="B114" s="178" t="s">
        <x:v>230</x:v>
      </x:c>
      <x:c r="C114" s="193" t="s">
        <x:v>231</x:v>
      </x:c>
      <x:c r="D114" s="180"/>
      <x:c r="E114" s="180"/>
      <x:c r="F114" s="180"/>
      <x:c r="G114" s="180"/>
      <x:c r="H114" s="183"/>
    </x:row>
    <x:row r="115" spans="1:51" s="163" customFormat="1" ht="51" customHeight="1">
      <x:c r="A115" s="192"/>
      <x:c r="B115" s="178" t="s">
        <x:v>139</x:v>
      </x:c>
      <x:c r="C115" s="193" t="s">
        <x:v>232</x:v>
      </x:c>
      <x:c r="D115" s="194">
        <x:f>D114/D202*D203</x:f>
      </x:c>
      <x:c r="E115" s="194">
        <x:f>E114/E202*E203</x:f>
      </x:c>
      <x:c r="F115" s="194">
        <x:f>F114/F202*F203</x:f>
      </x:c>
      <x:c r="G115" s="194">
        <x:f>G114/G202*G203</x:f>
      </x:c>
      <x:c r="H115" s="183" t="s">
        <x:v>141</x:v>
      </x:c>
    </x:row>
    <x:row r="116" spans="1:51" s="163" customFormat="1" ht="38.25" customHeight="1">
      <x:c r="A116" s="192"/>
      <x:c r="B116" s="178" t="s">
        <x:v>142</x:v>
      </x:c>
      <x:c r="C116" s="193" t="s">
        <x:v>233</x:v>
      </x:c>
      <x:c r="D116" s="194">
        <x:f>D114/D202*D204</x:f>
      </x:c>
      <x:c r="E116" s="194">
        <x:f>E114/E202*E204</x:f>
      </x:c>
      <x:c r="F116" s="194">
        <x:f>F114/F202*F204</x:f>
      </x:c>
      <x:c r="G116" s="194">
        <x:f>G114/G202*G204</x:f>
      </x:c>
      <x:c r="H116" s="183" t="s">
        <x:v>144</x:v>
      </x:c>
    </x:row>
    <x:row r="117" spans="1:51" s="163" customFormat="1" ht="25.5" customHeight="1">
      <x:c r="A117" s="192"/>
      <x:c r="B117" s="178" t="s">
        <x:v>145</x:v>
      </x:c>
      <x:c r="C117" s="193">
        <x:v>103012</x:v>
      </x:c>
      <x:c r="D117" s="194">
        <x:f>D114/D202*D205</x:f>
      </x:c>
      <x:c r="E117" s="194">
        <x:f>E114/E202*E205</x:f>
      </x:c>
      <x:c r="F117" s="194">
        <x:f>F114/F202*F205</x:f>
      </x:c>
      <x:c r="G117" s="194">
        <x:f>G114/G202*G205</x:f>
      </x:c>
      <x:c r="H117" s="181" t="s">
        <x:v>147</x:v>
      </x:c>
    </x:row>
    <x:row r="118" spans="1:51" s="163" customFormat="1">
      <x:c r="A118" s="188" t="s">
        <x:v>234</x:v>
      </x:c>
      <x:c r="B118" s="178" t="s">
        <x:v>235</x:v>
      </x:c>
      <x:c r="C118" s="193" t="s">
        <x:v>236</x:v>
      </x:c>
      <x:c r="D118" s="180"/>
      <x:c r="E118" s="180"/>
      <x:c r="F118" s="180"/>
      <x:c r="G118" s="180"/>
      <x:c r="H118" s="183"/>
    </x:row>
    <x:row r="119" spans="1:51" s="163" customFormat="1" ht="51" customHeight="1">
      <x:c r="A119" s="192"/>
      <x:c r="B119" s="178" t="s">
        <x:v>139</x:v>
      </x:c>
      <x:c r="C119" s="193" t="s">
        <x:v>237</x:v>
      </x:c>
      <x:c r="D119" s="194">
        <x:f>D118/D202*D203</x:f>
      </x:c>
      <x:c r="E119" s="194">
        <x:f>E118/E202*E203</x:f>
      </x:c>
      <x:c r="F119" s="194">
        <x:f>F118/F202*F203</x:f>
      </x:c>
      <x:c r="G119" s="194">
        <x:f>G118/G202*G203</x:f>
      </x:c>
      <x:c r="H119" s="183" t="s">
        <x:v>141</x:v>
      </x:c>
    </x:row>
    <x:row r="120" spans="1:51" s="163" customFormat="1" ht="38.25" customHeight="1">
      <x:c r="A120" s="192"/>
      <x:c r="B120" s="178" t="s">
        <x:v>142</x:v>
      </x:c>
      <x:c r="C120" s="193" t="s">
        <x:v>238</x:v>
      </x:c>
      <x:c r="D120" s="194">
        <x:f>D118/D202*D204</x:f>
      </x:c>
      <x:c r="E120" s="194">
        <x:f>E118/E202*E204</x:f>
      </x:c>
      <x:c r="F120" s="194">
        <x:f>F118/F202*F204</x:f>
      </x:c>
      <x:c r="G120" s="194">
        <x:f>G118/G202*G204</x:f>
      </x:c>
      <x:c r="H120" s="183" t="s">
        <x:v>144</x:v>
      </x:c>
    </x:row>
    <x:row r="121" spans="1:51" s="163" customFormat="1" ht="25.5" customHeight="1">
      <x:c r="A121" s="192"/>
      <x:c r="B121" s="178" t="s">
        <x:v>145</x:v>
      </x:c>
      <x:c r="C121" s="193">
        <x:v>103022</x:v>
      </x:c>
      <x:c r="D121" s="194">
        <x:f>D118/D202*D205</x:f>
      </x:c>
      <x:c r="E121" s="194">
        <x:f>E118/E202*E205</x:f>
      </x:c>
      <x:c r="F121" s="194">
        <x:f>F118/F202*F205</x:f>
      </x:c>
      <x:c r="G121" s="194">
        <x:f>G118/G202*G205</x:f>
      </x:c>
      <x:c r="H121" s="181" t="s">
        <x:v>147</x:v>
      </x:c>
    </x:row>
    <x:row r="122" spans="1:51" s="163" customFormat="1">
      <x:c r="A122" s="188" t="s">
        <x:v>239</x:v>
      </x:c>
      <x:c r="B122" s="178" t="s">
        <x:v>240</x:v>
      </x:c>
      <x:c r="C122" s="193" t="s">
        <x:v>241</x:v>
      </x:c>
      <x:c r="D122" s="180"/>
      <x:c r="E122" s="180"/>
      <x:c r="F122" s="180"/>
      <x:c r="G122" s="180"/>
      <x:c r="H122" s="183"/>
    </x:row>
    <x:row r="123" spans="1:51" s="163" customFormat="1" ht="51" customHeight="1">
      <x:c r="A123" s="192"/>
      <x:c r="B123" s="178" t="s">
        <x:v>139</x:v>
      </x:c>
      <x:c r="C123" s="193" t="s">
        <x:v>242</x:v>
      </x:c>
      <x:c r="D123" s="194">
        <x:f>D122/D202*D203</x:f>
      </x:c>
      <x:c r="E123" s="194">
        <x:f>E122/E202*E203</x:f>
      </x:c>
      <x:c r="F123" s="194">
        <x:f>F122/F202*F203</x:f>
      </x:c>
      <x:c r="G123" s="194">
        <x:f>G122/G202*G203</x:f>
      </x:c>
      <x:c r="H123" s="183" t="s">
        <x:v>141</x:v>
      </x:c>
    </x:row>
    <x:row r="124" spans="1:51" s="163" customFormat="1" ht="38.25" customHeight="1">
      <x:c r="A124" s="192"/>
      <x:c r="B124" s="178" t="s">
        <x:v>142</x:v>
      </x:c>
      <x:c r="C124" s="193" t="s">
        <x:v>243</x:v>
      </x:c>
      <x:c r="D124" s="194">
        <x:f>D122/D202*D204</x:f>
      </x:c>
      <x:c r="E124" s="194">
        <x:f>E122/E202*E204</x:f>
      </x:c>
      <x:c r="F124" s="194">
        <x:f>F122/F202*F204</x:f>
      </x:c>
      <x:c r="G124" s="194">
        <x:f>G122/G202*G204</x:f>
      </x:c>
      <x:c r="H124" s="183" t="s">
        <x:v>144</x:v>
      </x:c>
    </x:row>
    <x:row r="125" spans="1:51" s="163" customFormat="1" ht="25.5" customHeight="1">
      <x:c r="A125" s="192"/>
      <x:c r="B125" s="178" t="s">
        <x:v>145</x:v>
      </x:c>
      <x:c r="C125" s="193">
        <x:v>103032</x:v>
      </x:c>
      <x:c r="D125" s="194">
        <x:f>D122/D202*D205</x:f>
      </x:c>
      <x:c r="E125" s="194">
        <x:f>E122/E202*E205</x:f>
      </x:c>
      <x:c r="F125" s="194">
        <x:f>F122/F202*F205</x:f>
      </x:c>
      <x:c r="G125" s="194">
        <x:f>G122/G202*G205</x:f>
      </x:c>
      <x:c r="H125" s="181" t="s">
        <x:v>147</x:v>
      </x:c>
    </x:row>
    <x:row r="126" spans="1:51" s="163" customFormat="1">
      <x:c r="A126" s="188" t="s">
        <x:v>244</x:v>
      </x:c>
      <x:c r="B126" s="189" t="s">
        <x:v>245</x:v>
      </x:c>
      <x:c r="C126" s="190" t="s">
        <x:v>246</x:v>
      </x:c>
      <x:c r="D126" s="197"/>
      <x:c r="E126" s="197"/>
      <x:c r="F126" s="197"/>
      <x:c r="G126" s="197"/>
      <x:c r="H126" s="183"/>
    </x:row>
    <x:row r="127" spans="1:51" s="163" customFormat="1" ht="51" customHeight="1">
      <x:c r="A127" s="192"/>
      <x:c r="B127" s="178" t="s">
        <x:v>139</x:v>
      </x:c>
      <x:c r="C127" s="193" t="s">
        <x:v>247</x:v>
      </x:c>
      <x:c r="D127" s="194">
        <x:f>D126/D202*D203</x:f>
      </x:c>
      <x:c r="E127" s="194">
        <x:f>E126/E202*E203</x:f>
      </x:c>
      <x:c r="F127" s="194">
        <x:f>F126/F202*F203</x:f>
      </x:c>
      <x:c r="G127" s="194">
        <x:f>G126/G202*G203</x:f>
      </x:c>
      <x:c r="H127" s="183" t="s">
        <x:v>141</x:v>
      </x:c>
    </x:row>
    <x:row r="128" spans="1:51" s="163" customFormat="1" ht="38.25" customHeight="1">
      <x:c r="A128" s="192"/>
      <x:c r="B128" s="178" t="s">
        <x:v>142</x:v>
      </x:c>
      <x:c r="C128" s="193" t="s">
        <x:v>248</x:v>
      </x:c>
      <x:c r="D128" s="194">
        <x:f>D126/D202*D204</x:f>
      </x:c>
      <x:c r="E128" s="194">
        <x:f>E126/E202*E204</x:f>
      </x:c>
      <x:c r="F128" s="194">
        <x:f>F126/F202*F204</x:f>
      </x:c>
      <x:c r="G128" s="194">
        <x:f>G126/G202*G204</x:f>
      </x:c>
      <x:c r="H128" s="183" t="s">
        <x:v>144</x:v>
      </x:c>
    </x:row>
    <x:row r="129" spans="1:51" s="163" customFormat="1" ht="25.5" customHeight="1">
      <x:c r="A129" s="192"/>
      <x:c r="B129" s="178" t="s">
        <x:v>145</x:v>
      </x:c>
      <x:c r="C129" s="193" t="s">
        <x:v>249</x:v>
      </x:c>
      <x:c r="D129" s="194">
        <x:f>D126/D202*D205</x:f>
      </x:c>
      <x:c r="E129" s="194">
        <x:f>E126/E202*E205</x:f>
      </x:c>
      <x:c r="F129" s="194">
        <x:f>F126/F202*F205</x:f>
      </x:c>
      <x:c r="G129" s="194">
        <x:f>G126/G202*G205</x:f>
      </x:c>
      <x:c r="H129" s="181" t="s">
        <x:v>147</x:v>
      </x:c>
    </x:row>
    <x:row r="130" spans="1:51" s="163" customFormat="1">
      <x:c r="A130" s="188" t="s">
        <x:v>250</x:v>
      </x:c>
      <x:c r="B130" s="189" t="s">
        <x:v>251</x:v>
      </x:c>
      <x:c r="C130" s="190" t="s">
        <x:v>252</x:v>
      </x:c>
      <x:c r="D130" s="197"/>
      <x:c r="E130" s="197"/>
      <x:c r="F130" s="197"/>
      <x:c r="G130" s="197"/>
      <x:c r="H130" s="183"/>
    </x:row>
    <x:row r="131" spans="1:51" s="163" customFormat="1" ht="51" customHeight="1">
      <x:c r="A131" s="192"/>
      <x:c r="B131" s="178" t="s">
        <x:v>139</x:v>
      </x:c>
      <x:c r="C131" s="193" t="s">
        <x:v>253</x:v>
      </x:c>
      <x:c r="D131" s="194">
        <x:f>D130/D202*D203</x:f>
      </x:c>
      <x:c r="E131" s="194">
        <x:f>E130/E202*E203</x:f>
      </x:c>
      <x:c r="F131" s="194">
        <x:f>F130/F202*F203</x:f>
      </x:c>
      <x:c r="G131" s="194">
        <x:f>G130/G202*G203</x:f>
      </x:c>
      <x:c r="H131" s="183" t="s">
        <x:v>141</x:v>
      </x:c>
    </x:row>
    <x:row r="132" spans="1:51" s="163" customFormat="1" ht="38.25" customHeight="1">
      <x:c r="A132" s="192"/>
      <x:c r="B132" s="178" t="s">
        <x:v>142</x:v>
      </x:c>
      <x:c r="C132" s="193" t="s">
        <x:v>254</x:v>
      </x:c>
      <x:c r="D132" s="194">
        <x:f>D130/D202*D204</x:f>
      </x:c>
      <x:c r="E132" s="194">
        <x:f>E130/E202*E204</x:f>
      </x:c>
      <x:c r="F132" s="194">
        <x:f>F130/F202*F204</x:f>
      </x:c>
      <x:c r="G132" s="194">
        <x:f>G130/G202*G204</x:f>
      </x:c>
      <x:c r="H132" s="183" t="s">
        <x:v>144</x:v>
      </x:c>
    </x:row>
    <x:row r="133" spans="1:51" s="163" customFormat="1" ht="25.5" customHeight="1">
      <x:c r="A133" s="192"/>
      <x:c r="B133" s="178" t="s">
        <x:v>145</x:v>
      </x:c>
      <x:c r="C133" s="193" t="s">
        <x:v>255</x:v>
      </x:c>
      <x:c r="D133" s="194">
        <x:f>D130/D202*D205</x:f>
      </x:c>
      <x:c r="E133" s="194">
        <x:f>E130/E202*E205</x:f>
      </x:c>
      <x:c r="F133" s="194">
        <x:f>F130/F202*F205</x:f>
      </x:c>
      <x:c r="G133" s="194">
        <x:f>G130/G202*G205</x:f>
      </x:c>
      <x:c r="H133" s="181" t="s">
        <x:v>147</x:v>
      </x:c>
    </x:row>
    <x:row r="134" spans="1:51" s="163" customFormat="1" ht="51" customHeight="1">
      <x:c r="A134" s="188" t="s">
        <x:v>256</x:v>
      </x:c>
      <x:c r="B134" s="189" t="s">
        <x:v>257</x:v>
      </x:c>
      <x:c r="C134" s="190" t="s">
        <x:v>258</x:v>
      </x:c>
      <x:c r="D134" s="197"/>
      <x:c r="E134" s="197"/>
      <x:c r="F134" s="197"/>
      <x:c r="G134" s="197"/>
      <x:c r="H134" s="183" t="s">
        <x:v>141</x:v>
      </x:c>
    </x:row>
    <x:row r="135" spans="1:51" s="163" customFormat="1">
      <x:c r="A135" s="188" t="s">
        <x:v>259</x:v>
      </x:c>
      <x:c r="B135" s="189" t="s">
        <x:v>260</x:v>
      </x:c>
      <x:c r="C135" s="190" t="s">
        <x:v>261</x:v>
      </x:c>
      <x:c r="D135" s="197"/>
      <x:c r="E135" s="197"/>
      <x:c r="F135" s="197"/>
      <x:c r="G135" s="197"/>
      <x:c r="H135" s="183"/>
    </x:row>
    <x:row r="136" spans="1:51" s="163" customFormat="1" ht="51" customHeight="1">
      <x:c r="A136" s="192"/>
      <x:c r="B136" s="178" t="s">
        <x:v>139</x:v>
      </x:c>
      <x:c r="C136" s="193" t="s">
        <x:v>262</x:v>
      </x:c>
      <x:c r="D136" s="194">
        <x:f>D135/D202*D203</x:f>
      </x:c>
      <x:c r="E136" s="194">
        <x:f>E135/E202*E203</x:f>
      </x:c>
      <x:c r="F136" s="194">
        <x:f>F135/F202*F203</x:f>
      </x:c>
      <x:c r="G136" s="194">
        <x:f>G135/G202*G203</x:f>
      </x:c>
      <x:c r="H136" s="183" t="s">
        <x:v>141</x:v>
      </x:c>
    </x:row>
    <x:row r="137" spans="1:51" s="163" customFormat="1" ht="38.25" customHeight="1">
      <x:c r="A137" s="192"/>
      <x:c r="B137" s="178" t="s">
        <x:v>142</x:v>
      </x:c>
      <x:c r="C137" s="193" t="s">
        <x:v>263</x:v>
      </x:c>
      <x:c r="D137" s="194">
        <x:f>D135/D202*D204</x:f>
      </x:c>
      <x:c r="E137" s="194">
        <x:f>E135/E202*E204</x:f>
      </x:c>
      <x:c r="F137" s="194">
        <x:f>F135/F202*F204</x:f>
      </x:c>
      <x:c r="G137" s="194">
        <x:f>G135/G202*G204</x:f>
      </x:c>
      <x:c r="H137" s="183" t="s">
        <x:v>144</x:v>
      </x:c>
    </x:row>
    <x:row r="138" spans="1:51" s="163" customFormat="1" ht="25.5" customHeight="1">
      <x:c r="A138" s="192"/>
      <x:c r="B138" s="178" t="s">
        <x:v>145</x:v>
      </x:c>
      <x:c r="C138" s="193" t="s">
        <x:v>264</x:v>
      </x:c>
      <x:c r="D138" s="194">
        <x:f>D135/D202*D205</x:f>
      </x:c>
      <x:c r="E138" s="194">
        <x:f>E135/E202*E205</x:f>
      </x:c>
      <x:c r="F138" s="194">
        <x:f>F135/F202*F205</x:f>
      </x:c>
      <x:c r="G138" s="194">
        <x:f>G135/G202*G205</x:f>
      </x:c>
      <x:c r="H138" s="181" t="s">
        <x:v>147</x:v>
      </x:c>
    </x:row>
    <x:row r="139" spans="1:51" s="163" customFormat="1" ht="51" customHeight="1">
      <x:c r="A139" s="188" t="s">
        <x:v>265</x:v>
      </x:c>
      <x:c r="B139" s="189" t="s">
        <x:v>266</x:v>
      </x:c>
      <x:c r="C139" s="190" t="s">
        <x:v>267</x:v>
      </x:c>
      <x:c r="D139" s="197"/>
      <x:c r="E139" s="197"/>
      <x:c r="F139" s="197"/>
      <x:c r="G139" s="197"/>
      <x:c r="H139" s="183" t="s">
        <x:v>268</x:v>
      </x:c>
    </x:row>
    <x:row r="140" spans="1:51" s="163" customFormat="1">
      <x:c r="A140" s="188" t="s">
        <x:v>269</x:v>
      </x:c>
      <x:c r="B140" s="189" t="s">
        <x:v>270</x:v>
      </x:c>
      <x:c r="C140" s="190" t="s">
        <x:v>271</x:v>
      </x:c>
      <x:c r="D140" s="191">
        <x:f>D141+D142+D143</x:f>
      </x:c>
      <x:c r="E140" s="191">
        <x:f>E141+E142+E143</x:f>
      </x:c>
      <x:c r="F140" s="191">
        <x:f>F141+F142+F143</x:f>
      </x:c>
      <x:c r="G140" s="191">
        <x:f>G141+G142+G143</x:f>
      </x:c>
      <x:c r="H140" s="183"/>
    </x:row>
    <x:row r="141" spans="1:51" s="163" customFormat="1" ht="51" customHeight="1">
      <x:c r="A141" s="192"/>
      <x:c r="B141" s="178" t="s">
        <x:v>139</x:v>
      </x:c>
      <x:c r="C141" s="193" t="s">
        <x:v>272</x:v>
      </x:c>
      <x:c r="D141" s="180"/>
      <x:c r="E141" s="180"/>
      <x:c r="F141" s="180"/>
      <x:c r="G141" s="180"/>
      <x:c r="H141" s="183" t="s">
        <x:v>141</x:v>
      </x:c>
    </x:row>
    <x:row r="142" spans="1:51" s="163" customFormat="1" ht="38.25" customHeight="1">
      <x:c r="A142" s="192"/>
      <x:c r="B142" s="178" t="s">
        <x:v>142</x:v>
      </x:c>
      <x:c r="C142" s="193" t="s">
        <x:v>273</x:v>
      </x:c>
      <x:c r="D142" s="180"/>
      <x:c r="E142" s="180"/>
      <x:c r="F142" s="180"/>
      <x:c r="G142" s="180"/>
      <x:c r="H142" s="183" t="s">
        <x:v>144</x:v>
      </x:c>
    </x:row>
    <x:row r="143" spans="1:51" s="163" customFormat="1" ht="25.5" customHeight="1">
      <x:c r="A143" s="192"/>
      <x:c r="B143" s="178" t="s">
        <x:v>145</x:v>
      </x:c>
      <x:c r="C143" s="193" t="s">
        <x:v>274</x:v>
      </x:c>
      <x:c r="D143" s="180"/>
      <x:c r="E143" s="180"/>
      <x:c r="F143" s="180"/>
      <x:c r="G143" s="180"/>
      <x:c r="H143" s="181" t="s">
        <x:v>147</x:v>
      </x:c>
    </x:row>
    <x:row r="144" spans="1:51" s="163" customFormat="1">
      <x:c r="A144" s="188" t="s">
        <x:v>275</x:v>
      </x:c>
      <x:c r="B144" s="189" t="s">
        <x:v>276</x:v>
      </x:c>
      <x:c r="C144" s="190" t="s">
        <x:v>277</x:v>
      </x:c>
      <x:c r="D144" s="197"/>
      <x:c r="E144" s="197"/>
      <x:c r="F144" s="197"/>
      <x:c r="G144" s="197"/>
      <x:c r="H144" s="183"/>
    </x:row>
    <x:row r="145" spans="1:51" s="163" customFormat="1" ht="51" customHeight="1">
      <x:c r="A145" s="192"/>
      <x:c r="B145" s="178" t="s">
        <x:v>139</x:v>
      </x:c>
      <x:c r="C145" s="193" t="s">
        <x:v>278</x:v>
      </x:c>
      <x:c r="D145" s="194">
        <x:f>D144/D202*D203</x:f>
      </x:c>
      <x:c r="E145" s="194">
        <x:f>E144/E202*E203</x:f>
      </x:c>
      <x:c r="F145" s="194">
        <x:f>F144/F202*F203</x:f>
      </x:c>
      <x:c r="G145" s="194">
        <x:f>G144/G202*G203</x:f>
      </x:c>
      <x:c r="H145" s="183" t="s">
        <x:v>141</x:v>
      </x:c>
    </x:row>
    <x:row r="146" spans="1:51" s="163" customFormat="1" ht="38.25" customHeight="1">
      <x:c r="A146" s="192"/>
      <x:c r="B146" s="178" t="s">
        <x:v>142</x:v>
      </x:c>
      <x:c r="C146" s="193" t="s">
        <x:v>279</x:v>
      </x:c>
      <x:c r="D146" s="194">
        <x:f>D144/D202*D204</x:f>
      </x:c>
      <x:c r="E146" s="194">
        <x:f>E144/E202*E204</x:f>
      </x:c>
      <x:c r="F146" s="194">
        <x:f>F144/F202*F204</x:f>
      </x:c>
      <x:c r="G146" s="194">
        <x:f>G144/G202*G204</x:f>
      </x:c>
      <x:c r="H146" s="183" t="s">
        <x:v>144</x:v>
      </x:c>
    </x:row>
    <x:row r="147" spans="1:51" s="163" customFormat="1" ht="25.5" customHeight="1">
      <x:c r="A147" s="192"/>
      <x:c r="B147" s="178" t="s">
        <x:v>145</x:v>
      </x:c>
      <x:c r="C147" s="193" t="s">
        <x:v>280</x:v>
      </x:c>
      <x:c r="D147" s="194">
        <x:f>D144/D202*D205</x:f>
      </x:c>
      <x:c r="E147" s="194">
        <x:f>E144/E202*E205</x:f>
      </x:c>
      <x:c r="F147" s="194">
        <x:f>F144/F202*F205</x:f>
      </x:c>
      <x:c r="G147" s="194">
        <x:f>G144/G202*G205</x:f>
      </x:c>
      <x:c r="H147" s="181" t="s">
        <x:v>147</x:v>
      </x:c>
    </x:row>
    <x:row r="148" spans="1:51" s="163" customFormat="1">
      <x:c r="A148" s="188" t="s">
        <x:v>281</x:v>
      </x:c>
      <x:c r="B148" s="189" t="s">
        <x:v>282</x:v>
      </x:c>
      <x:c r="C148" s="190" t="s">
        <x:v>283</x:v>
      </x:c>
      <x:c r="D148" s="191">
        <x:f>D149+D153</x:f>
      </x:c>
      <x:c r="E148" s="191">
        <x:f>E149+E153</x:f>
      </x:c>
      <x:c r="F148" s="191">
        <x:f>F149+F153</x:f>
      </x:c>
      <x:c r="G148" s="191">
        <x:f>G149+G153</x:f>
      </x:c>
      <x:c r="H148" s="183"/>
    </x:row>
    <x:row r="149" spans="1:51" s="163" customFormat="1" ht="25.5" customHeight="1">
      <x:c r="A149" s="188" t="s">
        <x:v>284</x:v>
      </x:c>
      <x:c r="B149" s="178" t="s">
        <x:v>285</x:v>
      </x:c>
      <x:c r="C149" s="193" t="s">
        <x:v>286</x:v>
      </x:c>
      <x:c r="D149" s="180"/>
      <x:c r="E149" s="180"/>
      <x:c r="F149" s="180"/>
      <x:c r="G149" s="180"/>
      <x:c r="H149" s="183"/>
    </x:row>
    <x:row r="150" spans="1:51" s="163" customFormat="1" ht="51" customHeight="1">
      <x:c r="A150" s="192"/>
      <x:c r="B150" s="178" t="s">
        <x:v>139</x:v>
      </x:c>
      <x:c r="C150" s="193" t="s">
        <x:v>287</x:v>
      </x:c>
      <x:c r="D150" s="194">
        <x:f>D149/D202*D203</x:f>
      </x:c>
      <x:c r="E150" s="194">
        <x:f>E149/E202*E203</x:f>
      </x:c>
      <x:c r="F150" s="194">
        <x:f>F149/F202*F203</x:f>
      </x:c>
      <x:c r="G150" s="194">
        <x:f>G149/G202*G203</x:f>
      </x:c>
      <x:c r="H150" s="183" t="s">
        <x:v>141</x:v>
      </x:c>
    </x:row>
    <x:row r="151" spans="1:51" s="163" customFormat="1" ht="38.25" customHeight="1">
      <x:c r="A151" s="192"/>
      <x:c r="B151" s="178" t="s">
        <x:v>142</x:v>
      </x:c>
      <x:c r="C151" s="193" t="s">
        <x:v>288</x:v>
      </x:c>
      <x:c r="D151" s="194">
        <x:f>D149/D202*D204</x:f>
      </x:c>
      <x:c r="E151" s="194">
        <x:f>E149/E202*E204</x:f>
      </x:c>
      <x:c r="F151" s="194">
        <x:f>F149/F202*F204</x:f>
      </x:c>
      <x:c r="G151" s="194">
        <x:f>G149/G202*G204</x:f>
      </x:c>
      <x:c r="H151" s="183" t="s">
        <x:v>144</x:v>
      </x:c>
    </x:row>
    <x:row r="152" spans="1:51" s="163" customFormat="1" ht="25.5" customHeight="1">
      <x:c r="A152" s="192"/>
      <x:c r="B152" s="178" t="s">
        <x:v>145</x:v>
      </x:c>
      <x:c r="C152" s="193">
        <x:v>1098012</x:v>
      </x:c>
      <x:c r="D152" s="194">
        <x:f>D149/D202*D205</x:f>
      </x:c>
      <x:c r="E152" s="194">
        <x:f>E149/E202*E205</x:f>
      </x:c>
      <x:c r="F152" s="194">
        <x:f>F149/F202*F205</x:f>
      </x:c>
      <x:c r="G152" s="194">
        <x:f>G149/G202*G205</x:f>
      </x:c>
      <x:c r="H152" s="181" t="s">
        <x:v>147</x:v>
      </x:c>
    </x:row>
    <x:row r="153" spans="1:51" s="163" customFormat="1" ht="25.5" customHeight="1">
      <x:c r="A153" s="188" t="s">
        <x:v>289</x:v>
      </x:c>
      <x:c r="B153" s="178" t="s">
        <x:v>282</x:v>
      </x:c>
      <x:c r="C153" s="193" t="s">
        <x:v>290</x:v>
      </x:c>
      <x:c r="D153" s="180"/>
      <x:c r="E153" s="180"/>
      <x:c r="F153" s="180"/>
      <x:c r="G153" s="180"/>
      <x:c r="H153" s="183"/>
    </x:row>
    <x:row r="154" spans="1:51" s="163" customFormat="1" ht="51" customHeight="1">
      <x:c r="A154" s="192"/>
      <x:c r="B154" s="178" t="s">
        <x:v>139</x:v>
      </x:c>
      <x:c r="C154" s="193" t="s">
        <x:v>291</x:v>
      </x:c>
      <x:c r="D154" s="194">
        <x:f>D153/D202*D203</x:f>
      </x:c>
      <x:c r="E154" s="194">
        <x:f>E153/E202*E203</x:f>
      </x:c>
      <x:c r="F154" s="194">
        <x:f>F153/F202*F203</x:f>
      </x:c>
      <x:c r="G154" s="194">
        <x:f>G153/G202*G203</x:f>
      </x:c>
      <x:c r="H154" s="183" t="s">
        <x:v>141</x:v>
      </x:c>
    </x:row>
    <x:row r="155" spans="1:51" s="163" customFormat="1" ht="38.25" customHeight="1">
      <x:c r="A155" s="192"/>
      <x:c r="B155" s="178" t="s">
        <x:v>142</x:v>
      </x:c>
      <x:c r="C155" s="193" t="s">
        <x:v>292</x:v>
      </x:c>
      <x:c r="D155" s="194">
        <x:f>D153/D202*D204</x:f>
      </x:c>
      <x:c r="E155" s="194">
        <x:f>E153/E202*E204</x:f>
      </x:c>
      <x:c r="F155" s="194">
        <x:f>F153/F202*F204</x:f>
      </x:c>
      <x:c r="G155" s="194">
        <x:f>G153/G202*G204</x:f>
      </x:c>
      <x:c r="H155" s="183" t="s">
        <x:v>144</x:v>
      </x:c>
    </x:row>
    <x:row r="156" spans="1:51" s="163" customFormat="1" ht="25.5" customHeight="1">
      <x:c r="A156" s="192"/>
      <x:c r="B156" s="178" t="s">
        <x:v>145</x:v>
      </x:c>
      <x:c r="C156" s="193">
        <x:v>1098022</x:v>
      </x:c>
      <x:c r="D156" s="194">
        <x:f>D153/D202*D205</x:f>
      </x:c>
      <x:c r="E156" s="194">
        <x:f>E153/E202*E205</x:f>
      </x:c>
      <x:c r="F156" s="194">
        <x:f>F153/F202*F205</x:f>
      </x:c>
      <x:c r="G156" s="194">
        <x:f>G153/G202*G205</x:f>
      </x:c>
      <x:c r="H156" s="181" t="s">
        <x:v>147</x:v>
      </x:c>
    </x:row>
    <x:row r="157" spans="1:51" s="163" customFormat="1">
      <x:c r="A157" s="173" t="s">
        <x:v>293</x:v>
      </x:c>
      <x:c r="B157" s="174" t="s">
        <x:v>294</x:v>
      </x:c>
      <x:c r="C157" s="175" t="s">
        <x:v>295</x:v>
      </x:c>
      <x:c r="D157" s="176">
        <x:f>D158+D162</x:f>
      </x:c>
      <x:c r="E157" s="176">
        <x:f>E158+E162</x:f>
      </x:c>
      <x:c r="F157" s="176">
        <x:f>F158+F162</x:f>
      </x:c>
      <x:c r="G157" s="176">
        <x:f>G158+G162</x:f>
      </x:c>
      <x:c r="H157" s="187"/>
    </x:row>
    <x:row r="158" spans="1:51" s="163" customFormat="1">
      <x:c r="A158" s="188" t="s">
        <x:v>32</x:v>
      </x:c>
      <x:c r="B158" s="178" t="s">
        <x:v>296</x:v>
      </x:c>
      <x:c r="C158" s="193" t="s">
        <x:v>297</x:v>
      </x:c>
      <x:c r="D158" s="180"/>
      <x:c r="E158" s="180"/>
      <x:c r="F158" s="180"/>
      <x:c r="G158" s="180"/>
      <x:c r="H158" s="183"/>
    </x:row>
    <x:row r="159" spans="1:51" s="163" customFormat="1" ht="51.75" customHeight="1">
      <x:c r="A159" s="188"/>
      <x:c r="B159" s="178" t="s">
        <x:v>139</x:v>
      </x:c>
      <x:c r="C159" s="193" t="s">
        <x:v>298</x:v>
      </x:c>
      <x:c r="D159" s="194">
        <x:f>D158/D202*D203</x:f>
      </x:c>
      <x:c r="E159" s="194">
        <x:f>E158/E202*E203</x:f>
      </x:c>
      <x:c r="F159" s="194">
        <x:f>F158/F202*F203</x:f>
      </x:c>
      <x:c r="G159" s="194">
        <x:f>G158/G202*G203</x:f>
      </x:c>
      <x:c r="H159" s="183" t="s">
        <x:v>141</x:v>
      </x:c>
    </x:row>
    <x:row r="160" spans="1:51" s="163" customFormat="1" ht="45.75" customHeight="1">
      <x:c r="A160" s="188"/>
      <x:c r="B160" s="178" t="s">
        <x:v>142</x:v>
      </x:c>
      <x:c r="C160" s="193" t="s">
        <x:v>299</x:v>
      </x:c>
      <x:c r="D160" s="194">
        <x:f>D158/D202*D204</x:f>
      </x:c>
      <x:c r="E160" s="194">
        <x:f>E158/E202*E204</x:f>
      </x:c>
      <x:c r="F160" s="194">
        <x:f>F158/F202*F204</x:f>
      </x:c>
      <x:c r="G160" s="194">
        <x:f>G158/G202*G204</x:f>
      </x:c>
      <x:c r="H160" s="183" t="s">
        <x:v>144</x:v>
      </x:c>
    </x:row>
    <x:row r="161" spans="1:51" s="163" customFormat="1" ht="25.5" customHeight="1">
      <x:c r="A161" s="188"/>
      <x:c r="B161" s="178" t="s">
        <x:v>145</x:v>
      </x:c>
      <x:c r="C161" s="193" t="s">
        <x:v>300</x:v>
      </x:c>
      <x:c r="D161" s="194">
        <x:f>D158/D202*D205</x:f>
      </x:c>
      <x:c r="E161" s="194">
        <x:f>E158/E202*E205</x:f>
      </x:c>
      <x:c r="F161" s="194">
        <x:f>F158/F202*F205</x:f>
      </x:c>
      <x:c r="G161" s="194">
        <x:f>G158/G202*G205</x:f>
      </x:c>
      <x:c r="H161" s="181" t="s">
        <x:v>147</x:v>
      </x:c>
    </x:row>
    <x:row r="162" spans="1:51" s="163" customFormat="1">
      <x:c r="A162" s="188" t="s">
        <x:v>41</x:v>
      </x:c>
      <x:c r="B162" s="178" t="s">
        <x:v>301</x:v>
      </x:c>
      <x:c r="C162" s="193" t="s">
        <x:v>302</x:v>
      </x:c>
      <x:c r="D162" s="180"/>
      <x:c r="E162" s="180"/>
      <x:c r="F162" s="180"/>
      <x:c r="G162" s="180"/>
      <x:c r="H162" s="183"/>
    </x:row>
    <x:row r="163" spans="1:51" s="163" customFormat="1" ht="51" customHeight="1">
      <x:c r="A163" s="188"/>
      <x:c r="B163" s="178" t="s">
        <x:v>139</x:v>
      </x:c>
      <x:c r="C163" s="193" t="s">
        <x:v>303</x:v>
      </x:c>
      <x:c r="D163" s="194">
        <x:f>D162/D202*D203</x:f>
      </x:c>
      <x:c r="E163" s="194">
        <x:f>E162/E202*E203</x:f>
      </x:c>
      <x:c r="F163" s="194">
        <x:f>F162/F202*F203</x:f>
      </x:c>
      <x:c r="G163" s="194">
        <x:f>G162/G202*G203</x:f>
      </x:c>
      <x:c r="H163" s="183" t="s">
        <x:v>141</x:v>
      </x:c>
    </x:row>
    <x:row r="164" spans="1:51" s="163" customFormat="1" ht="38.25" customHeight="1">
      <x:c r="A164" s="192"/>
      <x:c r="B164" s="178" t="s">
        <x:v>142</x:v>
      </x:c>
      <x:c r="C164" s="193" t="s">
        <x:v>304</x:v>
      </x:c>
      <x:c r="D164" s="194">
        <x:f>D162/D202*D204</x:f>
      </x:c>
      <x:c r="E164" s="194">
        <x:f>E162/E202*E204</x:f>
      </x:c>
      <x:c r="F164" s="194">
        <x:f>F162/F202*F204</x:f>
      </x:c>
      <x:c r="G164" s="194">
        <x:f>G162/G202*G204</x:f>
      </x:c>
      <x:c r="H164" s="183" t="s">
        <x:v>144</x:v>
      </x:c>
    </x:row>
    <x:row r="165" spans="1:51" s="163" customFormat="1" ht="25.5" customHeight="1">
      <x:c r="A165" s="192"/>
      <x:c r="B165" s="178" t="s">
        <x:v>145</x:v>
      </x:c>
      <x:c r="C165" s="193" t="s">
        <x:v>305</x:v>
      </x:c>
      <x:c r="D165" s="194">
        <x:f>D162/D202*D205</x:f>
      </x:c>
      <x:c r="E165" s="194">
        <x:f>E162/E202*E205</x:f>
      </x:c>
      <x:c r="F165" s="194">
        <x:f>F162/F202*F205</x:f>
      </x:c>
      <x:c r="G165" s="194">
        <x:f>G162/G202*G205</x:f>
      </x:c>
      <x:c r="H165" s="181" t="s">
        <x:v>147</x:v>
      </x:c>
    </x:row>
    <x:row r="166" spans="1:51" s="163" customFormat="1">
      <x:c r="A166" s="173" t="s">
        <x:v>306</x:v>
      </x:c>
      <x:c r="B166" s="174" t="s">
        <x:v>307</x:v>
      </x:c>
      <x:c r="C166" s="175" t="s">
        <x:v>308</x:v>
      </x:c>
      <x:c r="D166" s="176">
        <x:f>D167</x:f>
      </x:c>
      <x:c r="E166" s="176">
        <x:f>E167</x:f>
      </x:c>
      <x:c r="F166" s="176">
        <x:f>F167</x:f>
      </x:c>
      <x:c r="G166" s="176">
        <x:f>G167</x:f>
      </x:c>
      <x:c r="H166" s="187"/>
    </x:row>
    <x:row r="167" spans="1:51" s="163" customFormat="1" ht="51" customHeight="1">
      <x:c r="A167" s="192"/>
      <x:c r="B167" s="178" t="s">
        <x:v>139</x:v>
      </x:c>
      <x:c r="C167" s="193" t="s">
        <x:v>309</x:v>
      </x:c>
      <x:c r="D167" s="180"/>
      <x:c r="E167" s="180"/>
      <x:c r="F167" s="180"/>
      <x:c r="G167" s="180"/>
      <x:c r="H167" s="183" t="s">
        <x:v>310</x:v>
      </x:c>
    </x:row>
    <x:row r="168" spans="1:51" s="163" customFormat="1">
      <x:c r="A168" s="207"/>
      <x:c r="B168" s="174" t="s">
        <x:v>311</x:v>
      </x:c>
      <x:c r="C168" s="208"/>
      <x:c r="D168" s="176">
        <x:f>D169+D173+D192+D195</x:f>
      </x:c>
      <x:c r="E168" s="176">
        <x:f>E169+E173+E192+E195</x:f>
      </x:c>
      <x:c r="F168" s="176">
        <x:f>F169+F173+F192+F195</x:f>
      </x:c>
      <x:c r="G168" s="176">
        <x:f>G169+G173+G192+G195</x:f>
      </x:c>
      <x:c r="H168" s="209"/>
    </x:row>
    <x:row r="169" spans="1:51" s="163" customFormat="1">
      <x:c r="A169" s="173" t="s">
        <x:v>312</x:v>
      </x:c>
      <x:c r="B169" s="174" t="s">
        <x:v>313</x:v>
      </x:c>
      <x:c r="C169" s="175" t="s">
        <x:v>314</x:v>
      </x:c>
      <x:c r="D169" s="176">
        <x:f>D170+D171+D172</x:f>
      </x:c>
      <x:c r="E169" s="176">
        <x:f>E170+E171+E172</x:f>
      </x:c>
      <x:c r="F169" s="176">
        <x:f>F170+F171+F172</x:f>
      </x:c>
      <x:c r="G169" s="176">
        <x:f>G170+G171+G172</x:f>
      </x:c>
      <x:c r="H169" s="209"/>
    </x:row>
    <x:row r="170" spans="1:51" s="163" customFormat="1">
      <x:c r="A170" s="192"/>
      <x:c r="B170" s="178" t="s">
        <x:v>315</x:v>
      </x:c>
      <x:c r="C170" s="206"/>
      <x:c r="D170" s="180"/>
      <x:c r="E170" s="180"/>
      <x:c r="F170" s="180"/>
      <x:c r="G170" s="180"/>
      <x:c r="H170" s="181" t="s">
        <x:v>316</x:v>
      </x:c>
    </x:row>
    <x:row r="171" spans="1:51" s="163" customFormat="1" ht="51" customHeight="1">
      <x:c r="A171" s="192"/>
      <x:c r="B171" s="178" t="s">
        <x:v>313</x:v>
      </x:c>
      <x:c r="C171" s="206"/>
      <x:c r="D171" s="180"/>
      <x:c r="E171" s="180"/>
      <x:c r="F171" s="180"/>
      <x:c r="G171" s="180"/>
      <x:c r="H171" s="181" t="s">
        <x:v>317</x:v>
      </x:c>
    </x:row>
    <x:row r="172" spans="1:51" s="163" customFormat="1" ht="25.5" customHeight="1">
      <x:c r="A172" s="192"/>
      <x:c r="B172" s="178" t="s">
        <x:v>318</x:v>
      </x:c>
      <x:c r="C172" s="206"/>
      <x:c r="D172" s="180"/>
      <x:c r="E172" s="180"/>
      <x:c r="F172" s="180"/>
      <x:c r="G172" s="180"/>
      <x:c r="H172" s="181" t="s">
        <x:v>319</x:v>
      </x:c>
    </x:row>
    <x:row r="173" spans="1:51" s="163" customFormat="1">
      <x:c r="A173" s="173" t="s">
        <x:v>320</x:v>
      </x:c>
      <x:c r="B173" s="174" t="s">
        <x:v>321</x:v>
      </x:c>
      <x:c r="C173" s="175" t="s">
        <x:v>322</x:v>
      </x:c>
      <x:c r="D173" s="176">
        <x:f>D174+D175+D176+D180+D183+D186+D189</x:f>
      </x:c>
      <x:c r="E173" s="176">
        <x:f>E174+E175+E176+E180+E183+E186+E189</x:f>
      </x:c>
      <x:c r="F173" s="176">
        <x:f>F174+F175+F176+F180+F183+F186+F189</x:f>
      </x:c>
      <x:c r="G173" s="176">
        <x:f>G174+G175+G176+G180+G183+G186+G189</x:f>
      </x:c>
      <x:c r="H173" s="210"/>
    </x:row>
    <x:row r="174" spans="1:51" s="163" customFormat="1" ht="12.75" customHeight="1">
      <x:c r="A174" s="204" t="s">
        <x:v>32</x:v>
      </x:c>
      <x:c r="B174" s="211" t="s">
        <x:v>323</x:v>
      </x:c>
      <x:c r="C174" s="212" t="s">
        <x:v>324</x:v>
      </x:c>
      <x:c r="D174" s="213"/>
      <x:c r="E174" s="213"/>
      <x:c r="F174" s="213"/>
      <x:c r="G174" s="213"/>
      <x:c r="H174" s="202" t="s">
        <x:v>325</x:v>
      </x:c>
    </x:row>
    <x:row r="175" spans="1:51" s="163" customFormat="1">
      <x:c r="A175" s="188" t="s">
        <x:v>41</x:v>
      </x:c>
      <x:c r="B175" s="189" t="s">
        <x:v>326</x:v>
      </x:c>
      <x:c r="C175" s="190" t="s">
        <x:v>327</x:v>
      </x:c>
      <x:c r="D175" s="197"/>
      <x:c r="E175" s="197"/>
      <x:c r="F175" s="197"/>
      <x:c r="G175" s="197"/>
      <x:c r="H175" s="181" t="s">
        <x:v>316</x:v>
      </x:c>
    </x:row>
    <x:row r="176" spans="1:51" s="163" customFormat="1">
      <x:c r="A176" s="188" t="s">
        <x:v>59</x:v>
      </x:c>
      <x:c r="B176" s="189" t="s">
        <x:v>328</x:v>
      </x:c>
      <x:c r="C176" s="190" t="s">
        <x:v>329</x:v>
      </x:c>
      <x:c r="D176" s="191">
        <x:f>D177+D178+D179</x:f>
      </x:c>
      <x:c r="E176" s="191">
        <x:f>E177+E178+E179</x:f>
      </x:c>
      <x:c r="F176" s="191">
        <x:f>F177+F178+F179</x:f>
      </x:c>
      <x:c r="G176" s="191">
        <x:f>G177+G178+G179</x:f>
      </x:c>
      <x:c r="H176" s="181"/>
    </x:row>
    <x:row r="177" spans="1:51" s="163" customFormat="1">
      <x:c r="A177" s="198"/>
      <x:c r="B177" s="199" t="s">
        <x:v>330</x:v>
      </x:c>
      <x:c r="C177" s="200">
        <x:v>52031</x:v>
      </x:c>
      <x:c r="D177" s="201"/>
      <x:c r="E177" s="201"/>
      <x:c r="F177" s="201"/>
      <x:c r="G177" s="201"/>
      <x:c r="H177" s="202" t="s">
        <x:v>325</x:v>
      </x:c>
    </x:row>
    <x:row r="178" spans="1:51" s="163" customFormat="1" ht="51" customHeight="1">
      <x:c r="A178" s="192"/>
      <x:c r="B178" s="178" t="s">
        <x:v>331</x:v>
      </x:c>
      <x:c r="C178" s="193">
        <x:v>52032</x:v>
      </x:c>
      <x:c r="D178" s="180"/>
      <x:c r="E178" s="180"/>
      <x:c r="F178" s="180"/>
      <x:c r="G178" s="180"/>
      <x:c r="H178" s="181" t="s">
        <x:v>332</x:v>
      </x:c>
    </x:row>
    <x:row r="179" spans="1:51" s="163" customFormat="1" ht="25.5" customHeight="1">
      <x:c r="A179" s="192"/>
      <x:c r="B179" s="178" t="s">
        <x:v>333</x:v>
      </x:c>
      <x:c r="C179" s="193">
        <x:v>52033</x:v>
      </x:c>
      <x:c r="D179" s="180"/>
      <x:c r="E179" s="180"/>
      <x:c r="F179" s="180"/>
      <x:c r="G179" s="180"/>
      <x:c r="H179" s="181" t="s">
        <x:v>334</x:v>
      </x:c>
    </x:row>
    <x:row r="180" spans="1:51" s="163" customFormat="1">
      <x:c r="A180" s="188" t="s">
        <x:v>89</x:v>
      </x:c>
      <x:c r="B180" s="189" t="s">
        <x:v>335</x:v>
      </x:c>
      <x:c r="C180" s="190" t="s">
        <x:v>336</x:v>
      </x:c>
      <x:c r="D180" s="191">
        <x:f>D181+D182</x:f>
      </x:c>
      <x:c r="E180" s="191">
        <x:f>E181+E182</x:f>
      </x:c>
      <x:c r="F180" s="191">
        <x:f>F181+F182</x:f>
      </x:c>
      <x:c r="G180" s="191">
        <x:f>G181+G182</x:f>
      </x:c>
      <x:c r="H180" s="181"/>
    </x:row>
    <x:row r="181" spans="1:51" s="163" customFormat="1" ht="51" customHeight="1">
      <x:c r="A181" s="192"/>
      <x:c r="B181" s="178" t="s">
        <x:v>335</x:v>
      </x:c>
      <x:c r="C181" s="193" t="s">
        <x:v>337</x:v>
      </x:c>
      <x:c r="D181" s="180"/>
      <x:c r="E181" s="180"/>
      <x:c r="F181" s="180"/>
      <x:c r="G181" s="180"/>
      <x:c r="H181" s="181" t="s">
        <x:v>332</x:v>
      </x:c>
    </x:row>
    <x:row r="182" spans="1:51" s="163" customFormat="1" ht="25.5" customHeight="1">
      <x:c r="A182" s="192"/>
      <x:c r="B182" s="178" t="s">
        <x:v>338</x:v>
      </x:c>
      <x:c r="C182" s="193" t="s">
        <x:v>339</x:v>
      </x:c>
      <x:c r="D182" s="180"/>
      <x:c r="E182" s="180"/>
      <x:c r="F182" s="180"/>
      <x:c r="G182" s="180"/>
      <x:c r="H182" s="181" t="s">
        <x:v>334</x:v>
      </x:c>
    </x:row>
    <x:row r="183" spans="1:51" s="163" customFormat="1">
      <x:c r="A183" s="188" t="s">
        <x:v>98</x:v>
      </x:c>
      <x:c r="B183" s="189" t="s">
        <x:v>340</x:v>
      </x:c>
      <x:c r="C183" s="190" t="s">
        <x:v>341</x:v>
      </x:c>
      <x:c r="D183" s="191">
        <x:f>D184+D185</x:f>
      </x:c>
      <x:c r="E183" s="191">
        <x:f>E184+E185</x:f>
      </x:c>
      <x:c r="F183" s="191">
        <x:f>F184+F185</x:f>
      </x:c>
      <x:c r="G183" s="191">
        <x:f>G184+G185</x:f>
      </x:c>
      <x:c r="H183" s="181"/>
    </x:row>
    <x:row r="184" spans="1:51" s="163" customFormat="1" ht="51" customHeight="1">
      <x:c r="A184" s="192"/>
      <x:c r="B184" s="178" t="s">
        <x:v>340</x:v>
      </x:c>
      <x:c r="C184" s="193" t="s">
        <x:v>342</x:v>
      </x:c>
      <x:c r="D184" s="180"/>
      <x:c r="E184" s="180"/>
      <x:c r="F184" s="180"/>
      <x:c r="G184" s="180"/>
      <x:c r="H184" s="181" t="s">
        <x:v>332</x:v>
      </x:c>
    </x:row>
    <x:row r="185" spans="1:51" s="163" customFormat="1" ht="25.5" customHeight="1">
      <x:c r="A185" s="192"/>
      <x:c r="B185" s="178" t="s">
        <x:v>343</x:v>
      </x:c>
      <x:c r="C185" s="193" t="s">
        <x:v>344</x:v>
      </x:c>
      <x:c r="D185" s="180"/>
      <x:c r="E185" s="180"/>
      <x:c r="F185" s="180"/>
      <x:c r="G185" s="180"/>
      <x:c r="H185" s="181" t="s">
        <x:v>334</x:v>
      </x:c>
    </x:row>
    <x:row r="186" spans="1:51" s="163" customFormat="1">
      <x:c r="A186" s="188" t="s">
        <x:v>175</x:v>
      </x:c>
      <x:c r="B186" s="189" t="s">
        <x:v>345</x:v>
      </x:c>
      <x:c r="C186" s="190" t="s">
        <x:v>346</x:v>
      </x:c>
      <x:c r="D186" s="191">
        <x:f>D187+D188</x:f>
      </x:c>
      <x:c r="E186" s="191">
        <x:f>E187+E188</x:f>
      </x:c>
      <x:c r="F186" s="191">
        <x:f>F187+F188</x:f>
      </x:c>
      <x:c r="G186" s="191">
        <x:f>G187+G188</x:f>
      </x:c>
      <x:c r="H186" s="181"/>
    </x:row>
    <x:row r="187" spans="1:51" s="163" customFormat="1" ht="51" customHeight="1">
      <x:c r="A187" s="192"/>
      <x:c r="B187" s="178" t="s">
        <x:v>345</x:v>
      </x:c>
      <x:c r="C187" s="193" t="s">
        <x:v>347</x:v>
      </x:c>
      <x:c r="D187" s="180"/>
      <x:c r="E187" s="180"/>
      <x:c r="F187" s="180"/>
      <x:c r="G187" s="180"/>
      <x:c r="H187" s="181" t="s">
        <x:v>332</x:v>
      </x:c>
    </x:row>
    <x:row r="188" spans="1:51" s="163" customFormat="1" ht="25.5" customHeight="1">
      <x:c r="A188" s="192"/>
      <x:c r="B188" s="178" t="s">
        <x:v>348</x:v>
      </x:c>
      <x:c r="C188" s="193" t="s">
        <x:v>349</x:v>
      </x:c>
      <x:c r="D188" s="180"/>
      <x:c r="E188" s="180"/>
      <x:c r="F188" s="180"/>
      <x:c r="G188" s="180"/>
      <x:c r="H188" s="181" t="s">
        <x:v>334</x:v>
      </x:c>
    </x:row>
    <x:row r="189" spans="1:51" s="163" customFormat="1">
      <x:c r="A189" s="188" t="s">
        <x:v>350</x:v>
      </x:c>
      <x:c r="B189" s="189" t="s">
        <x:v>351</x:v>
      </x:c>
      <x:c r="C189" s="190" t="s">
        <x:v>352</x:v>
      </x:c>
      <x:c r="D189" s="191">
        <x:f>D190+D191</x:f>
      </x:c>
      <x:c r="E189" s="191">
        <x:f>E190+E191</x:f>
      </x:c>
      <x:c r="F189" s="191">
        <x:f>F190+F191</x:f>
      </x:c>
      <x:c r="G189" s="191">
        <x:f>G190+G191</x:f>
      </x:c>
      <x:c r="H189" s="181"/>
    </x:row>
    <x:row r="190" spans="1:51" s="163" customFormat="1" ht="51" customHeight="1">
      <x:c r="A190" s="214"/>
      <x:c r="B190" s="184" t="s">
        <x:v>351</x:v>
      </x:c>
      <x:c r="C190" s="215" t="s">
        <x:v>353</x:v>
      </x:c>
      <x:c r="D190" s="216"/>
      <x:c r="E190" s="216"/>
      <x:c r="F190" s="216"/>
      <x:c r="G190" s="216"/>
      <x:c r="H190" s="181" t="s">
        <x:v>332</x:v>
      </x:c>
    </x:row>
    <x:row r="191" spans="1:51" s="163" customFormat="1" ht="25.5" customHeight="1">
      <x:c r="A191" s="217"/>
      <x:c r="B191" s="218" t="s">
        <x:v>354</x:v>
      </x:c>
      <x:c r="C191" s="219" t="s">
        <x:v>355</x:v>
      </x:c>
      <x:c r="D191" s="180"/>
      <x:c r="E191" s="180"/>
      <x:c r="F191" s="180"/>
      <x:c r="G191" s="180"/>
      <x:c r="H191" s="181" t="s">
        <x:v>334</x:v>
      </x:c>
    </x:row>
    <x:row r="192" spans="1:51" s="163" customFormat="1">
      <x:c r="A192" s="173" t="s">
        <x:v>356</x:v>
      </x:c>
      <x:c r="B192" s="174" t="s">
        <x:v>357</x:v>
      </x:c>
      <x:c r="C192" s="175" t="s">
        <x:v>358</x:v>
      </x:c>
      <x:c r="D192" s="176">
        <x:f>D193+D194</x:f>
      </x:c>
      <x:c r="E192" s="176">
        <x:f>E193+E194</x:f>
      </x:c>
      <x:c r="F192" s="176">
        <x:f>F193+F194</x:f>
      </x:c>
      <x:c r="G192" s="176">
        <x:f>G193+G194</x:f>
      </x:c>
      <x:c r="H192" s="210"/>
    </x:row>
    <x:row r="193" spans="1:51" s="163" customFormat="1">
      <x:c r="A193" s="220" t="s">
        <x:v>359</x:v>
      </x:c>
      <x:c r="B193" s="221" t="s">
        <x:v>360</x:v>
      </x:c>
      <x:c r="C193" s="222" t="s">
        <x:v>361</x:v>
      </x:c>
      <x:c r="D193" s="223"/>
      <x:c r="E193" s="223"/>
      <x:c r="F193" s="223"/>
      <x:c r="G193" s="223"/>
      <x:c r="H193" s="202" t="s">
        <x:v>325</x:v>
      </x:c>
    </x:row>
    <x:row r="194" spans="1:51" s="163" customFormat="1">
      <x:c r="A194" s="220" t="s">
        <x:v>362</x:v>
      </x:c>
      <x:c r="B194" s="221" t="s">
        <x:v>363</x:v>
      </x:c>
      <x:c r="C194" s="222" t="s">
        <x:v>364</x:v>
      </x:c>
      <x:c r="D194" s="223"/>
      <x:c r="E194" s="223"/>
      <x:c r="F194" s="223"/>
      <x:c r="G194" s="223"/>
      <x:c r="H194" s="202" t="s">
        <x:v>325</x:v>
      </x:c>
    </x:row>
    <x:row r="195" spans="1:51" s="163" customFormat="1">
      <x:c r="A195" s="224" t="s">
        <x:v>365</x:v>
      </x:c>
      <x:c r="B195" s="225" t="s">
        <x:v>366</x:v>
      </x:c>
      <x:c r="C195" s="226" t="s">
        <x:v>367</x:v>
      </x:c>
      <x:c r="D195" s="227"/>
      <x:c r="E195" s="227"/>
      <x:c r="F195" s="227"/>
      <x:c r="G195" s="227"/>
      <x:c r="H195" s="181" t="s">
        <x:v>316</x:v>
      </x:c>
    </x:row>
    <x:row r="196" spans="1:51" s="163" customFormat="1" ht="9" customHeight="1">
      <x:c r="A196" s="228"/>
      <x:c r="B196" s="229"/>
      <x:c r="C196" s="230"/>
      <x:c r="D196" s="231"/>
      <x:c r="E196" s="231"/>
      <x:c r="F196" s="231"/>
      <x:c r="G196" s="231"/>
      <x:c r="H196" s="232"/>
    </x:row>
    <x:row r="197" spans="1:51" s="163" customFormat="1">
      <x:c r="A197" s="233"/>
      <x:c r="B197" s="234" t="s">
        <x:v>368</x:v>
      </x:c>
      <x:c r="C197" s="235"/>
      <x:c r="D197" s="236"/>
      <x:c r="E197" s="236"/>
      <x:c r="F197" s="236"/>
      <x:c r="G197" s="236"/>
      <x:c r="H197" s="237"/>
    </x:row>
    <x:row r="198" spans="1:51" s="163" customFormat="1">
      <x:c r="A198" s="192"/>
      <x:c r="B198" s="178" t="s">
        <x:v>369</x:v>
      </x:c>
      <x:c r="C198" s="206" t="s">
        <x:v>370</x:v>
      </x:c>
      <x:c r="D198" s="194">
        <x:f>D199+D200+D201</x:f>
      </x:c>
      <x:c r="E198" s="194">
        <x:f>E199+E200+E201</x:f>
      </x:c>
      <x:c r="F198" s="194">
        <x:f>F199+F200+F201</x:f>
      </x:c>
      <x:c r="G198" s="194">
        <x:f>G199+G200+G201</x:f>
      </x:c>
      <x:c r="H198" s="181" t="s">
        <x:v>371</x:v>
      </x:c>
    </x:row>
    <x:row r="199" spans="1:51" s="163" customFormat="1">
      <x:c r="A199" s="192"/>
      <x:c r="B199" s="178" t="s">
        <x:v>372</x:v>
      </x:c>
      <x:c r="C199" s="206" t="s">
        <x:v>370</x:v>
      </x:c>
      <x:c r="D199" s="180"/>
      <x:c r="E199" s="180"/>
      <x:c r="F199" s="180"/>
      <x:c r="G199" s="180"/>
      <x:c r="H199" s="181" t="s">
        <x:v>373</x:v>
      </x:c>
    </x:row>
    <x:row r="200" spans="1:51" s="163" customFormat="1">
      <x:c r="A200" s="192"/>
      <x:c r="B200" s="178" t="s">
        <x:v>374</x:v>
      </x:c>
      <x:c r="C200" s="206" t="s">
        <x:v>370</x:v>
      </x:c>
      <x:c r="D200" s="180"/>
      <x:c r="E200" s="180"/>
      <x:c r="F200" s="180"/>
      <x:c r="G200" s="180"/>
      <x:c r="H200" s="181" t="s">
        <x:v>375</x:v>
      </x:c>
    </x:row>
    <x:row r="201" spans="1:51" s="163" customFormat="1">
      <x:c r="A201" s="192"/>
      <x:c r="B201" s="178" t="s">
        <x:v>376</x:v>
      </x:c>
      <x:c r="C201" s="206" t="s">
        <x:v>370</x:v>
      </x:c>
      <x:c r="D201" s="180"/>
      <x:c r="E201" s="180"/>
      <x:c r="F201" s="180"/>
      <x:c r="G201" s="180"/>
      <x:c r="H201" s="181" t="s">
        <x:v>377</x:v>
      </x:c>
    </x:row>
    <x:row r="202" spans="1:51" s="163" customFormat="1">
      <x:c r="A202" s="192"/>
      <x:c r="B202" s="178" t="s">
        <x:v>378</x:v>
      </x:c>
      <x:c r="C202" s="206" t="s">
        <x:v>370</x:v>
      </x:c>
      <x:c r="D202" s="194">
        <x:f>D203+D204+D205</x:f>
      </x:c>
      <x:c r="E202" s="194">
        <x:f>E203+E204+E205</x:f>
      </x:c>
      <x:c r="F202" s="194">
        <x:f>F203+F204+F205</x:f>
      </x:c>
      <x:c r="G202" s="194">
        <x:f>G203+G204+G205</x:f>
      </x:c>
      <x:c r="H202" s="181" t="s">
        <x:v>379</x:v>
      </x:c>
    </x:row>
    <x:row r="203" spans="1:51" s="163" customFormat="1">
      <x:c r="A203" s="192"/>
      <x:c r="B203" s="178" t="s">
        <x:v>372</x:v>
      </x:c>
      <x:c r="C203" s="206" t="s">
        <x:v>370</x:v>
      </x:c>
      <x:c r="D203" s="180"/>
      <x:c r="E203" s="180"/>
      <x:c r="F203" s="180"/>
      <x:c r="G203" s="180"/>
      <x:c r="H203" s="181" t="s">
        <x:v>380</x:v>
      </x:c>
    </x:row>
    <x:row r="204" spans="1:51" s="163" customFormat="1" ht="14.25" customHeight="1">
      <x:c r="A204" s="192"/>
      <x:c r="B204" s="178" t="s">
        <x:v>381</x:v>
      </x:c>
      <x:c r="C204" s="206" t="s">
        <x:v>370</x:v>
      </x:c>
      <x:c r="D204" s="180"/>
      <x:c r="E204" s="180"/>
      <x:c r="F204" s="180"/>
      <x:c r="G204" s="180"/>
      <x:c r="H204" s="181" t="s">
        <x:v>382</x:v>
      </x:c>
    </x:row>
    <x:row r="205" spans="1:51" s="163" customFormat="1" ht="14.25" customHeight="1">
      <x:c r="A205" s="192"/>
      <x:c r="B205" s="178" t="s">
        <x:v>376</x:v>
      </x:c>
      <x:c r="C205" s="206" t="s">
        <x:v>370</x:v>
      </x:c>
      <x:c r="D205" s="180"/>
      <x:c r="E205" s="180"/>
      <x:c r="F205" s="180"/>
      <x:c r="G205" s="180"/>
      <x:c r="H205" s="181" t="s">
        <x:v>383</x:v>
      </x:c>
    </x:row>
    <x:row r="206" spans="1:51" s="163" customFormat="1">
      <x:c r="A206" s="192"/>
      <x:c r="B206" s="178" t="s">
        <x:v>384</x:v>
      </x:c>
      <x:c r="C206" s="206" t="s">
        <x:v>385</x:v>
      </x:c>
      <x:c r="D206" s="194">
        <x:f>D10/D202/12</x:f>
      </x:c>
      <x:c r="E206" s="194">
        <x:f>E10/E202/12</x:f>
      </x:c>
      <x:c r="F206" s="194">
        <x:f>F10/F202/12</x:f>
      </x:c>
      <x:c r="G206" s="194">
        <x:f>G10/G202/12</x:f>
      </x:c>
      <x:c r="H206" s="183"/>
    </x:row>
    <x:row r="207" spans="1:51" s="163" customFormat="1">
      <x:c r="A207" s="192"/>
      <x:c r="B207" s="178" t="s">
        <x:v>372</x:v>
      </x:c>
      <x:c r="C207" s="206" t="s">
        <x:v>385</x:v>
      </x:c>
      <x:c r="D207" s="194">
        <x:f>D11/D203/12</x:f>
      </x:c>
      <x:c r="E207" s="194">
        <x:f>E11/E203/12</x:f>
      </x:c>
      <x:c r="F207" s="194">
        <x:f>F11/F203/12</x:f>
      </x:c>
      <x:c r="G207" s="194">
        <x:f>G11/G203/12</x:f>
      </x:c>
      <x:c r="H207" s="183"/>
    </x:row>
    <x:row r="208" spans="1:51" s="163" customFormat="1">
      <x:c r="A208" s="192"/>
      <x:c r="B208" s="178" t="s">
        <x:v>386</x:v>
      </x:c>
      <x:c r="C208" s="206" t="s">
        <x:v>385</x:v>
      </x:c>
      <x:c r="D208" s="194">
        <x:f>D12/D204/12</x:f>
      </x:c>
      <x:c r="E208" s="194">
        <x:f>E12/E204/12</x:f>
      </x:c>
      <x:c r="F208" s="194">
        <x:f>F12/F204/12</x:f>
      </x:c>
      <x:c r="G208" s="194">
        <x:f>G12/G204/12</x:f>
      </x:c>
      <x:c r="H208" s="183"/>
    </x:row>
    <x:row r="209" spans="1:51" s="163" customFormat="1">
      <x:c r="A209" s="192"/>
      <x:c r="B209" s="178" t="s">
        <x:v>376</x:v>
      </x:c>
      <x:c r="C209" s="206" t="s">
        <x:v>385</x:v>
      </x:c>
      <x:c r="D209" s="194">
        <x:f>D13/D205/12</x:f>
      </x:c>
      <x:c r="E209" s="194">
        <x:f>E13/E205/12</x:f>
      </x:c>
      <x:c r="F209" s="194">
        <x:f>F13/F205/12</x:f>
      </x:c>
      <x:c r="G209" s="194">
        <x:f>G13/G205/12</x:f>
      </x:c>
      <x:c r="H209" s="183"/>
    </x:row>
    <x:row r="210" spans="1:51" s="163" customFormat="1" ht="9" customHeight="1">
      <x:c r="A210" s="238"/>
      <x:c r="B210" s="239"/>
      <x:c r="C210" s="240"/>
      <x:c r="D210" s="241"/>
      <x:c r="E210" s="241"/>
      <x:c r="F210" s="241"/>
      <x:c r="G210" s="241"/>
      <x:c r="H210" s="24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5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387</x:v>
      </x:c>
      <x:c r="C213" s="140" t="s">
        <x:v>388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389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0"/>
      <x:c r="C216" s="150"/>
      <x:c r="D216" s="150"/>
      <x:c r="E216" s="150"/>
      <x:c r="F216" s="150"/>
      <x:c r="G216" s="150"/>
      <x:c r="H216" s="150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40625" defaultRowHeight="12.75"/>
  <x:cols>
    <x:col min="1" max="1" width="9.140625" style="0" customWidth="1"/>
    <x:col min="2" max="2" width="22" style="0" customWidth="1"/>
    <x:col min="3" max="3" width="28.570312" style="0" customWidth="1"/>
    <x:col min="4" max="4" width="22.710938" style="0" customWidth="1"/>
    <x:col min="5" max="5" width="21" style="0" customWidth="1"/>
    <x:col min="6" max="6" width="20" style="0" customWidth="1"/>
    <x:col min="7" max="7" width="22.140625" style="0" customWidth="1"/>
    <x:col min="8" max="8" width="16.285156" style="0" customWidth="1"/>
    <x:col min="9" max="9" width="15.285156" style="0" customWidth="1"/>
    <x:col min="10" max="16384" width="9.140625" style="0" customWidth="1"/>
  </x:cols>
  <x:sheetData>
    <x:row r="1" spans="1:9">
      <x:c r="E1" s="131" t="s">
        <x:v>390</x:v>
      </x:c>
    </x:row>
    <x:row r="2" spans="1:9">
      <x:c r="C2" s="111"/>
    </x:row>
    <x:row r="4" spans="1:9">
      <x:c r="B4" s="157" t="s">
        <x:v>391</x:v>
      </x:c>
      <x:c r="C4" s="157"/>
      <x:c r="D4" s="157"/>
      <x:c r="E4" s="157"/>
    </x:row>
    <x:row r="5" spans="1:9">
      <x:c r="B5" s="157" t="s">
        <x:v>392</x:v>
      </x:c>
      <x:c r="C5" s="157"/>
      <x:c r="D5" s="157"/>
      <x:c r="E5" s="157"/>
    </x:row>
    <x:row r="6" spans="1:9">
      <x:c r="B6" s="243" t="s">
        <x:v>393</x:v>
      </x:c>
      <x:c r="C6" s="244"/>
    </x:row>
    <x:row r="7" spans="1:9">
      <x:c r="C7" s="245" t="s">
        <x:v>7</x:v>
      </x:c>
    </x:row>
    <x:row r="8" spans="1:9" ht="13.5" customHeight="1" thickBot="1">
      <x:c r="D8" s="245"/>
    </x:row>
    <x:row r="9" spans="1:9" ht="71.25" customHeight="1">
      <x:c r="B9" s="246"/>
      <x:c r="C9" s="247" t="s">
        <x:v>394</x:v>
      </x:c>
      <x:c r="D9" s="247" t="s">
        <x:v>395</x:v>
      </x:c>
      <x:c r="E9" s="248" t="s">
        <x:v>396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49" t="s">
        <x:v>397</x:v>
      </x:c>
      <x:c r="C11" s="250">
        <x:f>C12+C13+C14+C15</x:f>
      </x:c>
      <x:c r="D11" s="250">
        <x:f>D12+D13+D14+D15</x:f>
      </x:c>
      <x:c r="E11" s="251">
        <x:f>E12+E13+E14+E15</x:f>
      </x:c>
    </x:row>
    <x:row r="12" spans="1:9" ht="19.5" customHeight="1">
      <x:c r="B12" s="252" t="s">
        <x:v>398</x:v>
      </x:c>
      <x:c r="C12" s="253"/>
      <x:c r="D12" s="253"/>
      <x:c r="E12" s="253"/>
    </x:row>
    <x:row r="13" spans="1:9" ht="18" customHeight="1">
      <x:c r="B13" s="252" t="s">
        <x:v>399</x:v>
      </x:c>
      <x:c r="C13" s="253"/>
      <x:c r="D13" s="253"/>
      <x:c r="E13" s="253"/>
    </x:row>
    <x:row r="14" spans="1:9" ht="21.75" customHeight="1">
      <x:c r="B14" s="252" t="s">
        <x:v>400</x:v>
      </x:c>
      <x:c r="C14" s="253"/>
      <x:c r="D14" s="253"/>
      <x:c r="E14" s="253"/>
    </x:row>
    <x:row r="15" spans="1:9" ht="24" customHeight="1" thickBot="1">
      <x:c r="B15" s="254" t="s">
        <x:v>401</x:v>
      </x:c>
      <x:c r="C15" s="253"/>
      <x:c r="D15" s="253"/>
      <x:c r="E15" s="253"/>
    </x:row>
    <x:row r="16" spans="1:9">
      <x:c r="B16" s="125"/>
      <x:c r="C16" s="125"/>
      <x:c r="D16" s="255"/>
      <x:c r="E16" s="255"/>
    </x:row>
    <x:row r="17" spans="1:9">
      <x:c r="B17" s="125"/>
      <x:c r="C17" s="125"/>
      <x:c r="D17" s="255"/>
      <x:c r="E17" s="255"/>
    </x:row>
    <x:row r="18" spans="1:9">
      <x:c r="B18" s="140" t="s">
        <x:v>387</x:v>
      </x:c>
      <x:c r="C18" s="140"/>
      <x:c r="D18" s="140"/>
      <x:c r="E18" s="140"/>
    </x:row>
    <x:row r="19" spans="1:9">
      <x:c r="B19" s="256" t="s">
        <x:v>402</x:v>
      </x:c>
      <x:c r="C19" s="140"/>
      <x:c r="D19" s="107" t="s">
        <x:v>403</x:v>
      </x:c>
      <x:c r="E19" s="140"/>
    </x:row>
    <x:row r="20" spans="1:9">
      <x:c r="B20" s="140" t="s">
        <x:v>404</x:v>
      </x:c>
      <x:c r="C20" s="140"/>
      <x:c r="D20" s="109" t="s">
        <x:v>405</x:v>
      </x:c>
      <x:c r="E20" s="140"/>
    </x:row>
    <x:row r="21" spans="1:9">
      <x:c r="B21" s="140"/>
      <x:c r="C21" s="140"/>
      <x:c r="D21" s="109"/>
      <x:c r="E21" s="140"/>
    </x:row>
    <x:row r="22" spans="1:9" ht="14.25" customHeight="1">
      <x:c r="B22" s="128" t="s">
        <x:v>406</x:v>
      </x:c>
      <x:c r="C22" s="140"/>
      <x:c r="D22" s="140"/>
      <x:c r="E22" s="140"/>
    </x:row>
    <x:row r="23" spans="1:9" ht="15" customHeight="1">
      <x:c r="B23" s="158" t="s">
        <x:v>407</x:v>
      </x:c>
      <x:c r="C23" s="158"/>
      <x:c r="D23" s="158"/>
      <x:c r="E23" s="158"/>
    </x:row>
    <x:row r="24" spans="1:9" ht="29.25" customHeight="1">
      <x:c r="B24" s="159" t="s">
        <x:v>408</x:v>
      </x:c>
      <x:c r="C24" s="159"/>
      <x:c r="D24" s="159"/>
      <x:c r="E24" s="159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40625" defaultRowHeight="12.75"/>
  <x:cols>
    <x:col min="1" max="1" width="21.855469" style="0" customWidth="1"/>
    <x:col min="2" max="2" width="49.425781" style="0" customWidth="1"/>
    <x:col min="3" max="3" width="7" style="0" bestFit="1" customWidth="1"/>
    <x:col min="4" max="4" width="13.285156" style="0" customWidth="1"/>
    <x:col min="5" max="5" width="16.425781" style="0" customWidth="1"/>
    <x:col min="6" max="6" width="7" style="0" bestFit="1" customWidth="1"/>
    <x:col min="7" max="7" width="16" style="0" customWidth="1"/>
    <x:col min="8" max="8" width="13.570312" style="0" customWidth="1"/>
    <x:col min="9" max="9" width="7" style="0" bestFit="1" customWidth="1"/>
    <x:col min="10" max="10" width="13.570312" style="0" bestFit="1" customWidth="1"/>
    <x:col min="11" max="11" width="13.710938" style="0" customWidth="1"/>
    <x:col min="12" max="12" width="7" style="0" bestFit="1" customWidth="1"/>
    <x:col min="13" max="13" width="13.285156" style="0" customWidth="1"/>
    <x:col min="14" max="14" width="13.855469" style="0" customWidth="1"/>
    <x:col min="15" max="16384" width="9.140625" style="0" customWidth="1"/>
  </x:cols>
  <x:sheetData>
    <x:row r="1" spans="1:14">
      <x:c r="J1" s="257"/>
      <x:c r="K1" s="131"/>
      <x:c r="N1" s="131" t="s">
        <x:v>409</x:v>
      </x:c>
    </x:row>
    <x:row r="2" spans="1:14" ht="25.5" customHeight="1">
      <x:c r="A2" s="161" t="s">
        <x:v>410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</x:row>
    <x:row r="3" spans="1:14" ht="15.75" customHeight="1">
      <x:c r="A3" s="97" t="s">
        <x:v>411</x:v>
      </x:c>
    </x:row>
    <x:row r="5" spans="1:14">
      <x:c r="A5" s="0" t="s">
        <x:v>393</x:v>
      </x:c>
      <x:c r="B5" s="244"/>
    </x:row>
    <x:row r="6" spans="1:14">
      <x:c r="B6" s="245" t="s">
        <x:v>7</x:v>
      </x:c>
    </x:row>
    <x:row r="7" spans="1:14">
      <x:c r="A7" s="258" t="s">
        <x:v>412</x:v>
      </x:c>
      <x:c r="B7" s="258" t="s">
        <x:v>413</x:v>
      </x:c>
      <x:c r="C7" s="160" t="s">
        <x:v>414</x:v>
      </x:c>
      <x:c r="D7" s="160"/>
      <x:c r="E7" s="160"/>
      <x:c r="F7" s="160" t="s">
        <x:v>415</x:v>
      </x:c>
      <x:c r="G7" s="160"/>
      <x:c r="H7" s="160"/>
      <x:c r="I7" s="160" t="s">
        <x:v>416</x:v>
      </x:c>
      <x:c r="J7" s="160"/>
      <x:c r="K7" s="160"/>
      <x:c r="L7" s="160" t="s">
        <x:v>417</x:v>
      </x:c>
      <x:c r="M7" s="160"/>
      <x:c r="N7" s="160"/>
    </x:row>
    <x:row r="8" spans="1:14" ht="38.25" customHeight="1">
      <x:c r="A8" s="258"/>
      <x:c r="B8" s="258"/>
      <x:c r="C8" s="258" t="s">
        <x:v>418</x:v>
      </x:c>
      <x:c r="D8" s="258" t="s">
        <x:v>419</x:v>
      </x:c>
      <x:c r="E8" s="258" t="s">
        <x:v>420</x:v>
      </x:c>
      <x:c r="F8" s="258" t="s">
        <x:v>418</x:v>
      </x:c>
      <x:c r="G8" s="258" t="s">
        <x:v>419</x:v>
      </x:c>
      <x:c r="H8" s="258" t="s">
        <x:v>420</x:v>
      </x:c>
      <x:c r="I8" s="258" t="s">
        <x:v>418</x:v>
      </x:c>
      <x:c r="J8" s="258" t="s">
        <x:v>419</x:v>
      </x:c>
      <x:c r="K8" s="258" t="s">
        <x:v>420</x:v>
      </x:c>
      <x:c r="L8" s="258" t="s">
        <x:v>418</x:v>
      </x:c>
      <x:c r="M8" s="258" t="s">
        <x:v>419</x:v>
      </x:c>
      <x:c r="N8" s="258" t="s">
        <x:v>420</x:v>
      </x:c>
    </x:row>
    <x:row r="9" spans="1:14">
      <x:c r="A9" s="259">
        <x:v>1</x:v>
      </x:c>
      <x:c r="B9" s="259">
        <x:v>2</x:v>
      </x:c>
      <x:c r="C9" s="259">
        <x:v>3</x:v>
      </x:c>
      <x:c r="D9" s="259">
        <x:v>4</x:v>
      </x:c>
      <x:c r="E9" s="259">
        <x:v>5</x:v>
      </x:c>
      <x:c r="F9" s="259">
        <x:v>6</x:v>
      </x:c>
      <x:c r="G9" s="259">
        <x:v>7</x:v>
      </x:c>
      <x:c r="H9" s="259">
        <x:v>8</x:v>
      </x:c>
      <x:c r="I9" s="259">
        <x:v>9</x:v>
      </x:c>
      <x:c r="J9" s="259">
        <x:v>10</x:v>
      </x:c>
      <x:c r="K9" s="259">
        <x:v>11</x:v>
      </x:c>
      <x:c r="L9" s="259">
        <x:v>9</x:v>
      </x:c>
      <x:c r="M9" s="259">
        <x:v>10</x:v>
      </x:c>
      <x:c r="N9" s="259">
        <x:v>11</x:v>
      </x:c>
    </x:row>
    <x:row r="10" spans="1:14">
      <x:c r="A10" s="259" t="s">
        <x:v>421</x:v>
      </x:c>
      <x:c r="B10" s="259"/>
      <x:c r="C10" s="259"/>
      <x:c r="D10" s="259"/>
      <x:c r="E10" s="260">
        <x:f>E11+E12+E13+E14+E15+E16</x:f>
      </x:c>
      <x:c r="F10" s="260"/>
      <x:c r="G10" s="260"/>
      <x:c r="H10" s="260">
        <x:f>H11+H12+H13+H14+H15+H16</x:f>
      </x:c>
      <x:c r="I10" s="260"/>
      <x:c r="J10" s="260"/>
      <x:c r="K10" s="260">
        <x:f>K11+K12+K13+K14+K15+K16</x:f>
      </x:c>
      <x:c r="L10" s="260"/>
      <x:c r="M10" s="260"/>
      <x:c r="N10" s="260">
        <x:f>N11+N12+N13+N14+N15+N16</x:f>
      </x:c>
    </x:row>
    <x:row r="11" spans="1:14" ht="27" customHeight="1">
      <x:c r="A11" s="261"/>
      <x:c r="B11" s="261"/>
      <x:c r="C11" s="261"/>
      <x:c r="D11" s="261"/>
      <x:c r="E11" s="261"/>
      <x:c r="F11" s="261"/>
      <x:c r="G11" s="261"/>
      <x:c r="H11" s="261"/>
      <x:c r="I11" s="261"/>
      <x:c r="J11" s="261"/>
      <x:c r="K11" s="261"/>
      <x:c r="L11" s="261"/>
      <x:c r="M11" s="261"/>
      <x:c r="N11" s="261"/>
    </x:row>
    <x:row r="12" spans="1:14" ht="24" customHeight="1">
      <x:c r="A12" s="261"/>
      <x:c r="B12" s="261"/>
      <x:c r="C12" s="261"/>
      <x:c r="D12" s="261"/>
      <x:c r="E12" s="261"/>
      <x:c r="F12" s="261"/>
      <x:c r="G12" s="261"/>
      <x:c r="H12" s="261"/>
      <x:c r="I12" s="261"/>
      <x:c r="J12" s="261"/>
      <x:c r="K12" s="261"/>
      <x:c r="L12" s="261"/>
      <x:c r="M12" s="261"/>
      <x:c r="N12" s="261"/>
    </x:row>
    <x:row r="13" spans="1:14" ht="22.5" customHeight="1">
      <x:c r="A13" s="261"/>
      <x:c r="B13" s="261"/>
      <x:c r="C13" s="261"/>
      <x:c r="D13" s="261"/>
      <x:c r="E13" s="261"/>
      <x:c r="F13" s="261"/>
      <x:c r="G13" s="261"/>
      <x:c r="H13" s="261"/>
      <x:c r="I13" s="261"/>
      <x:c r="J13" s="261"/>
      <x:c r="K13" s="261"/>
      <x:c r="L13" s="261"/>
      <x:c r="M13" s="261"/>
      <x:c r="N13" s="261"/>
    </x:row>
    <x:row r="14" spans="1:14" ht="22.5" customHeight="1">
      <x:c r="A14" s="261"/>
      <x:c r="B14" s="261"/>
      <x:c r="C14" s="261"/>
      <x:c r="D14" s="261"/>
      <x:c r="E14" s="261"/>
      <x:c r="F14" s="261"/>
      <x:c r="G14" s="261"/>
      <x:c r="H14" s="261"/>
      <x:c r="I14" s="261"/>
      <x:c r="J14" s="261"/>
      <x:c r="K14" s="261"/>
      <x:c r="L14" s="261"/>
      <x:c r="M14" s="261"/>
      <x:c r="N14" s="261"/>
    </x:row>
    <x:row r="15" spans="1:14" ht="22.5" customHeight="1">
      <x:c r="A15" s="261"/>
      <x:c r="B15" s="261"/>
      <x:c r="C15" s="261"/>
      <x:c r="D15" s="261"/>
      <x:c r="E15" s="261"/>
      <x:c r="F15" s="261"/>
      <x:c r="G15" s="261"/>
      <x:c r="H15" s="261"/>
      <x:c r="I15" s="261"/>
      <x:c r="J15" s="261"/>
      <x:c r="K15" s="261"/>
      <x:c r="L15" s="261"/>
      <x:c r="M15" s="261"/>
      <x:c r="N15" s="261"/>
    </x:row>
    <x:row r="16" spans="1:14" ht="30" customHeight="1">
      <x:c r="A16" s="261"/>
      <x:c r="B16" s="261"/>
      <x:c r="C16" s="261"/>
      <x:c r="D16" s="261"/>
      <x:c r="E16" s="261"/>
      <x:c r="F16" s="261"/>
      <x:c r="G16" s="261"/>
      <x:c r="H16" s="261"/>
      <x:c r="I16" s="261"/>
      <x:c r="J16" s="261"/>
      <x:c r="K16" s="261"/>
      <x:c r="L16" s="261"/>
      <x:c r="M16" s="261"/>
      <x:c r="N16" s="261"/>
    </x:row>
    <x:row r="17" spans="1:14">
      <x:c r="A17" s="262"/>
    </x:row>
    <x:row r="18" spans="1:14">
      <x:c r="A18" s="140" t="s">
        <x:v>387</x:v>
      </x:c>
      <x:c r="B18" s="140"/>
      <x:c r="C18" s="140"/>
      <x:c r="D18" s="107" t="s">
        <x:v>403</x:v>
      </x:c>
      <x:c r="E18" s="140"/>
    </x:row>
    <x:row r="19" spans="1:14">
      <x:c r="A19" s="140" t="s">
        <x:v>422</x:v>
      </x:c>
      <x:c r="B19" s="109"/>
      <x:c r="C19" s="140"/>
      <x:c r="E19" s="109" t="s">
        <x:v>423</x:v>
      </x:c>
    </x:row>
    <x:row r="20" spans="1:14">
      <x:c r="A20" s="140" t="s">
        <x:v>424</x:v>
      </x:c>
      <x:c r="B20" s="256"/>
      <x:c r="C20" s="140"/>
      <x:c r="D20" s="140"/>
      <x:c r="E20" s="140"/>
      <x:c r="F20" s="140"/>
      <x:c r="G20" s="262"/>
      <x:c r="H20" s="262"/>
      <x:c r="I20" s="262"/>
      <x:c r="J20" s="262"/>
      <x:c r="K20" s="26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tinkin</lastModifiedBy>
  <lastPrinted>2024-08-30T08:31:40.0000000Z</lastPrinted>
  <dcterms:created xsi:type="dcterms:W3CDTF">2023-06-09T08:57:28.0000000Z</dcterms:created>
  <dcterms:modified xsi:type="dcterms:W3CDTF">2025-02-08T07:59:37.0000000Z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